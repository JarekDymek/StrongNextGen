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058df6f10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lasyfikacja" sheetId="1" r:id="Rc01a7969faa94e88"/>
    <x:sheet xmlns:r="http://schemas.openxmlformats.org/officeDocument/2006/relationships" name="Obliczenia" sheetId="2" r:id="Rc5b1bc21f7f547da"/>
    <x:sheet xmlns:r="http://schemas.openxmlformats.org/officeDocument/2006/relationships" name="Wyniki zawodów" sheetId="3" r:id="R386bf36608744df8"/>
    <x:sheet xmlns:r="http://schemas.openxmlformats.org/officeDocument/2006/relationships" name="Zawody" sheetId="4" r:id="R5b0312df97944fce"/>
    <x:sheet xmlns:r="http://schemas.openxmlformats.org/officeDocument/2006/relationships" name="Zawodnicy" sheetId="5" r:id="Re024210feb5e42e5"/>
    <x:sheet xmlns:r="http://schemas.openxmlformats.org/officeDocument/2006/relationships" name="Instrukcja" sheetId="6" r:id="R54b6b7350c9a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;-0;;@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2333"/>
      <x:name val="Carlito"/>
    </x:font>
    <x:font>
      <x:b/>
      <x:sz val="10"/>
      <x:color rgb="FFFFFFFF"/>
      <x:name val="Carlito"/>
    </x:font>
    <x:font>
      <x:sz val="10"/>
      <x:color rgb="FF162333"/>
      <x:name val="Carlito"/>
    </x:font>
    <x:font>
      <x:sz val="1"/>
      <x:color rgb="FFFFFFFF"/>
      <x:name val="Carlito"/>
    </x:font>
    <x:font>
      <x:b/>
      <x:sz val="10"/>
      <x:color rgb="FF0B25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AF2F8"/>
      </x:patternFill>
    </x:fill>
    <x:fill>
      <x:patternFill patternType="solid">
        <x:fgColor rgb="FF1E5A85"/>
      </x:patternFill>
    </x:fill>
    <x:fill>
      <x:patternFill patternType="solid">
        <x:fgColor rgb="FFFFF6CF"/>
      </x:patternFill>
    </x:fill>
    <x:fill>
      <x:patternFill patternType="solid">
        <x:fgColor rgb="FFE5F4EB"/>
      </x:patternFill>
    </x:fill>
    <x:fill>
      <x:patternFill patternType="solid">
        <x:fgColor rgb="FFFFF1E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2" fontId="4" fillId="0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4cdc3dc0d44e6" /><Relationship Type="http://schemas.openxmlformats.org/officeDocument/2006/relationships/theme" Target="/xl/theme/theme1.xml" Id="R5c74fcfa1ea243d6" /><Relationship Type="http://schemas.openxmlformats.org/officeDocument/2006/relationships/sharedStrings" Target="/xl/sharedStrings.xml" Id="Rc00a7d1d2e15429e" /><Relationship Type="http://schemas.openxmlformats.org/officeDocument/2006/relationships/worksheet" Target="/xl/worksheets/sheet1.xml" Id="Rc01a7969faa94e88" /><Relationship Type="http://schemas.openxmlformats.org/officeDocument/2006/relationships/worksheet" Target="/xl/worksheets/sheet2.xml" Id="Rc5b1bc21f7f547da" /><Relationship Type="http://schemas.openxmlformats.org/officeDocument/2006/relationships/worksheet" Target="/xl/worksheets/sheet3.xml" Id="R386bf36608744df8" /><Relationship Type="http://schemas.openxmlformats.org/officeDocument/2006/relationships/worksheet" Target="/xl/worksheets/sheet4.xml" Id="R5b0312df97944fce" /><Relationship Type="http://schemas.openxmlformats.org/officeDocument/2006/relationships/worksheet" Target="/xl/worksheets/sheet5.xml" Id="Re024210feb5e42e5" /><Relationship Type="http://schemas.openxmlformats.org/officeDocument/2006/relationships/worksheet" Target="/xl/worksheets/sheet6.xml" Id="R54b6b7350c9a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0" customHeight="1">
      <x:c r="A1" s="4" t="str">
        <x:v>PUCHAR POLSKI STRONGMAN TYBERIAN TEAM 2026 - KLASYFIKACJA GENERALNA</x:v>
      </x:c>
      <x:c r="B1" s="4" t="str">
        <x:v>PUCHAR POLSKI STRONGMAN TYBERIAN TEAM 2026 - KLASYFIKACJA GENERALNA</x:v>
      </x:c>
      <x:c r="C1" s="4" t="str">
        <x:v>PUCHAR POLSKI STRONGMAN TYBERIAN TEAM 2026 - KLASYFIKACJA GENERALNA</x:v>
      </x:c>
      <x:c r="D1" s="4" t="str">
        <x:v>PUCHAR POLSKI STRONGMAN TYBERIAN TEAM 2026 - KLASYFIKACJA GENERALNA</x:v>
      </x:c>
      <x:c r="E1" s="4" t="str">
        <x:v>PUCHAR POLSKI STRONGMAN TYBERIAN TEAM 2026 - KLASYFIKACJA GENERALNA</x:v>
      </x:c>
      <x:c r="F1" s="4" t="str">
        <x:v>PUCHAR POLSKI STRONGMAN TYBERIAN TEAM 2026 - KLASYFIKACJA GENERALNA</x:v>
      </x:c>
      <x:c r="G1" s="4" t="str">
        <x:v>PUCHAR POLSKI STRONGMAN TYBERIAN TEAM 2026 - KLASYFIKACJA GENERALNA</x:v>
      </x:c>
      <x:c r="H1" s="4" t="str">
        <x:v>PUCHAR POLSKI STRONGMAN TYBERIAN TEAM 2026 - KLASYFIKACJA GENERALNA</x:v>
      </x:c>
      <x:c r="I1" s="4" t="str">
        <x:v>PUCHAR POLSKI STRONGMAN TYBERIAN TEAM 2026 - KLASYFIKACJA GENERALNA</x:v>
      </x:c>
      <x:c r="J1" s="4" t="str">
        <x:v>PUCHAR POLSKI STRONGMAN TYBERIAN TEAM 2026 - KLASYFIKACJA GENERALNA</x:v>
      </x:c>
      <x:c r="K1" s="4" t="str">
        <x:v>PUCHAR POLSKI STRONGMAN TYBERIAN TEAM 2026 - KLASYFIKACJA GENERALNA</x:v>
      </x:c>
      <x:c r="L1" s="4" t="str">
        <x:v>PUCHAR POLSKI STRONGMAN TYBERIAN TEAM 2026 - KLASYFIKACJA GENERALNA</x:v>
      </x:c>
      <x:c r="M1" s="4" t="str">
        <x:v>PUCHAR POLSKI STRONGMAN TYBERIAN TEAM 2026 - KLASYFIKACJA GENERALNA</x:v>
      </x:c>
      <x:c r="N1" s="4" t="str">
        <x:v>PUCHAR POLSKI STRONGMAN TYBERIAN TEAM 2026 - KLASYFIKACJA GENERALNA</x:v>
      </x:c>
      <x:c r="O1" s="4" t="str">
        <x:v>PUCHAR POLSKI STRONGMAN TYBERIAN TEAM 2026 - KLASYFIKACJA GENERALNA</x:v>
      </x:c>
      <x:c r="P1" s="4" t="str">
        <x:v>PUCHAR POLSKI STRONGMAN TYBERIAN TEAM 2026 - KLASYFIKACJA GENERALNA</x:v>
      </x:c>
      <x:c r="Q1" s="4" t="str">
        <x:v>PUCHAR POLSKI STRONGMAN TYBERIAN TEAM 2026 - KLASYFIKACJA GENERALNA</x:v>
      </x:c>
      <x:c r="R1" s="4" t="str">
        <x:v>PUCHAR POLSKI STRONGMAN TYBERIAN TEAM 2026 - KLASYFIKACJA GENERALNA</x:v>
      </x:c>
      <x:c r="S1" s="4" t="str">
        <x:v>PUCHAR POLSKI STRONGMAN TYBERIAN TEAM 2026 - KLASYFIKACJA GENERALNA</x:v>
      </x:c>
      <x:c r="T1" s="4" t="str">
        <x:v>PUCHAR POLSKI STRONGMAN TYBERIAN TEAM 2026 - KLASYFIKACJA GENERALNA</x:v>
      </x:c>
      <x:c r="U1" s="4" t="str">
        <x:v>PUCHAR POLSKI STRONGMAN TYBERIAN TEAM 2026 - KLASYFIKACJA GENERALNA</x:v>
      </x:c>
      <x:c r="V1" s="4" t="str">
        <x:v>PUCHAR POLSKI STRONGMAN TYBERIAN TEAM 2026 - KLASYFIKACJA GENERALNA</x:v>
      </x:c>
      <x:c r="W1" s="4" t="str">
        <x:v>PUCHAR POLSKI STRONGMAN TYBERIAN TEAM 2026 - KLASYFIKACJA GENERALNA</x:v>
      </x:c>
      <x:c r="X1" s="4" t="str">
        <x:v>PUCHAR POLSKI STRONGMAN TYBERIAN TEAM 2026 - KLASYFIKACJA GENERALNA</x:v>
      </x:c>
      <x:c r="Y1" s="4" t="str">
        <x:v>PUCHAR POLSKI STRONGMAN TYBERIAN TEAM 2026 - KLASYFIKACJA GENERALNA</x:v>
      </x:c>
      <x:c r="Z1" s="4" t="str">
        <x:v>PUCHAR POLSKI STRONGMAN TYBERIAN TEAM 2026 - KLASYFIKACJA GENERALNA</x:v>
      </x:c>
    </x:row>
    <x:row r="2" ht="24" customHeight="1">
      <x:c r="A2" s="8" t="str">
        <x:v>Punktacja 5-4-3-2-1 za miejsca 1-5. Do sumy sezonu liczą się maksymalnie cztery najlepsze starty zawodnika. Wspólna liczba punktów oznacza wspólne miejsce.</x:v>
      </x:c>
      <x:c r="B2" s="8" t="str">
        <x:v>Punktacja 5-4-3-2-1 za miejsca 1-5. Do sumy sezonu liczą się maksymalnie cztery najlepsze starty zawodnika. Wspólna liczba punktów oznacza wspólne miejsce.</x:v>
      </x:c>
      <x:c r="C2" s="8" t="str">
        <x:v>Punktacja 5-4-3-2-1 za miejsca 1-5. Do sumy sezonu liczą się maksymalnie cztery najlepsze starty zawodnika. Wspólna liczba punktów oznacza wspólne miejsce.</x:v>
      </x:c>
      <x:c r="D2" s="8" t="str">
        <x:v>Punktacja 5-4-3-2-1 za miejsca 1-5. Do sumy sezonu liczą się maksymalnie cztery najlepsze starty zawodnika. Wspólna liczba punktów oznacza wspólne miejsce.</x:v>
      </x:c>
      <x:c r="E2" s="8" t="str">
        <x:v>Punktacja 5-4-3-2-1 za miejsca 1-5. Do sumy sezonu liczą się maksymalnie cztery najlepsze starty zawodnika. Wspólna liczba punktów oznacza wspólne miejsce.</x:v>
      </x:c>
      <x:c r="F2" s="8" t="str">
        <x:v>Punktacja 5-4-3-2-1 za miejsca 1-5. Do sumy sezonu liczą się maksymalnie cztery najlepsze starty zawodnika. Wspólna liczba punktów oznacza wspólne miejsce.</x:v>
      </x:c>
      <x:c r="G2" s="8" t="str">
        <x:v>Punktacja 5-4-3-2-1 za miejsca 1-5. Do sumy sezonu liczą się maksymalnie cztery najlepsze starty zawodnika. Wspólna liczba punktów oznacza wspólne miejsce.</x:v>
      </x:c>
      <x:c r="H2" s="8" t="str">
        <x:v>Punktacja 5-4-3-2-1 za miejsca 1-5. Do sumy sezonu liczą się maksymalnie cztery najlepsze starty zawodnika. Wspólna liczba punktów oznacza wspólne miejsce.</x:v>
      </x:c>
      <x:c r="I2" s="8" t="str">
        <x:v>Punktacja 5-4-3-2-1 za miejsca 1-5. Do sumy sezonu liczą się maksymalnie cztery najlepsze starty zawodnika. Wspólna liczba punktów oznacza wspólne miejsce.</x:v>
      </x:c>
      <x:c r="J2" s="8" t="str">
        <x:v>Punktacja 5-4-3-2-1 za miejsca 1-5. Do sumy sezonu liczą się maksymalnie cztery najlepsze starty zawodnika. Wspólna liczba punktów oznacza wspólne miejsce.</x:v>
      </x:c>
      <x:c r="K2" s="8" t="str">
        <x:v>Punktacja 5-4-3-2-1 za miejsca 1-5. Do sumy sezonu liczą się maksymalnie cztery najlepsze starty zawodnika. Wspólna liczba punktów oznacza wspólne miejsce.</x:v>
      </x:c>
      <x:c r="L2" s="8" t="str">
        <x:v>Punktacja 5-4-3-2-1 za miejsca 1-5. Do sumy sezonu liczą się maksymalnie cztery najlepsze starty zawodnika. Wspólna liczba punktów oznacza wspólne miejsce.</x:v>
      </x:c>
      <x:c r="M2" s="8" t="str">
        <x:v>Punktacja 5-4-3-2-1 za miejsca 1-5. Do sumy sezonu liczą się maksymalnie cztery najlepsze starty zawodnika. Wspólna liczba punktów oznacza wspólne miejsce.</x:v>
      </x:c>
      <x:c r="N2" s="8" t="str">
        <x:v>Punktacja 5-4-3-2-1 za miejsca 1-5. Do sumy sezonu liczą się maksymalnie cztery najlepsze starty zawodnika. Wspólna liczba punktów oznacza wspólne miejsce.</x:v>
      </x:c>
      <x:c r="O2" s="8" t="str">
        <x:v>Punktacja 5-4-3-2-1 za miejsca 1-5. Do sumy sezonu liczą się maksymalnie cztery najlepsze starty zawodnika. Wspólna liczba punktów oznacza wspólne miejsce.</x:v>
      </x:c>
      <x:c r="P2" s="8" t="str">
        <x:v>Punktacja 5-4-3-2-1 za miejsca 1-5. Do sumy sezonu liczą się maksymalnie cztery najlepsze starty zawodnika. Wspólna liczba punktów oznacza wspólne miejsce.</x:v>
      </x:c>
      <x:c r="Q2" s="8" t="str">
        <x:v>Punktacja 5-4-3-2-1 za miejsca 1-5. Do sumy sezonu liczą się maksymalnie cztery najlepsze starty zawodnika. Wspólna liczba punktów oznacza wspólne miejsce.</x:v>
      </x:c>
      <x:c r="R2" s="8" t="str">
        <x:v>Punktacja 5-4-3-2-1 za miejsca 1-5. Do sumy sezonu liczą się maksymalnie cztery najlepsze starty zawodnika. Wspólna liczba punktów oznacza wspólne miejsce.</x:v>
      </x:c>
      <x:c r="S2" s="8" t="str">
        <x:v>Punktacja 5-4-3-2-1 za miejsca 1-5. Do sumy sezonu liczą się maksymalnie cztery najlepsze starty zawodnika. Wspólna liczba punktów oznacza wspólne miejsce.</x:v>
      </x:c>
      <x:c r="T2" s="8" t="str">
        <x:v>Punktacja 5-4-3-2-1 za miejsca 1-5. Do sumy sezonu liczą się maksymalnie cztery najlepsze starty zawodnika. Wspólna liczba punktów oznacza wspólne miejsce.</x:v>
      </x:c>
      <x:c r="U2" s="8" t="str">
        <x:v>Punktacja 5-4-3-2-1 za miejsca 1-5. Do sumy sezonu liczą się maksymalnie cztery najlepsze starty zawodnika. Wspólna liczba punktów oznacza wspólne miejsce.</x:v>
      </x:c>
      <x:c r="V2" s="8" t="str">
        <x:v>Punktacja 5-4-3-2-1 za miejsca 1-5. Do sumy sezonu liczą się maksymalnie cztery najlepsze starty zawodnika. Wspólna liczba punktów oznacza wspólne miejsce.</x:v>
      </x:c>
      <x:c r="W2" s="8" t="str">
        <x:v>Punktacja 5-4-3-2-1 za miejsca 1-5. Do sumy sezonu liczą się maksymalnie cztery najlepsze starty zawodnika. Wspólna liczba punktów oznacza wspólne miejsce.</x:v>
      </x:c>
      <x:c r="X2" s="8" t="str">
        <x:v>Punktacja 5-4-3-2-1 za miejsca 1-5. Do sumy sezonu liczą się maksymalnie cztery najlepsze starty zawodnika. Wspólna liczba punktów oznacza wspólne miejsce.</x:v>
      </x:c>
      <x:c r="Y2" s="8" t="str">
        <x:v>Punktacja 5-4-3-2-1 za miejsca 1-5. Do sumy sezonu liczą się maksymalnie cztery najlepsze starty zawodnika. Wspólna liczba punktów oznacza wspólne miejsce.</x:v>
      </x:c>
      <x:c r="Z2" s="8" t="str">
        <x:v>Punktacja 5-4-3-2-1 za miejsca 1-5. Do sumy sezonu liczą się maksymalnie cztery najlepsze starty zawodnika. Wspólna liczba punktów oznacza wspólne miejsce.</x:v>
      </x:c>
    </x:row>
    <x:row r="3" ht="24" customHeight="1">
      <x:c r="A3" s="8" t="str">
        <x:v>Punktacja 5-4-3-2-1 za miejsca 1-5. Do sumy sezonu liczą się maksymalnie cztery najlepsze starty zawodnika. Wspólna liczba punktów oznacza wspólne miejsce.</x:v>
      </x:c>
      <x:c r="B3" s="8" t="str">
        <x:v>Punktacja 5-4-3-2-1 za miejsca 1-5. Do sumy sezonu liczą się maksymalnie cztery najlepsze starty zawodnika. Wspólna liczba punktów oznacza wspólne miejsce.</x:v>
      </x:c>
      <x:c r="C3" s="8" t="str">
        <x:v>Punktacja 5-4-3-2-1 za miejsca 1-5. Do sumy sezonu liczą się maksymalnie cztery najlepsze starty zawodnika. Wspólna liczba punktów oznacza wspólne miejsce.</x:v>
      </x:c>
      <x:c r="D3" s="8" t="str">
        <x:v>Punktacja 5-4-3-2-1 za miejsca 1-5. Do sumy sezonu liczą się maksymalnie cztery najlepsze starty zawodnika. Wspólna liczba punktów oznacza wspólne miejsce.</x:v>
      </x:c>
      <x:c r="E3" s="8" t="str">
        <x:v>Punktacja 5-4-3-2-1 za miejsca 1-5. Do sumy sezonu liczą się maksymalnie cztery najlepsze starty zawodnika. Wspólna liczba punktów oznacza wspólne miejsce.</x:v>
      </x:c>
      <x:c r="F3" s="8" t="str">
        <x:v>Punktacja 5-4-3-2-1 za miejsca 1-5. Do sumy sezonu liczą się maksymalnie cztery najlepsze starty zawodnika. Wspólna liczba punktów oznacza wspólne miejsce.</x:v>
      </x:c>
      <x:c r="G3" s="8" t="str">
        <x:v>Punktacja 5-4-3-2-1 za miejsca 1-5. Do sumy sezonu liczą się maksymalnie cztery najlepsze starty zawodnika. Wspólna liczba punktów oznacza wspólne miejsce.</x:v>
      </x:c>
      <x:c r="H3" s="8" t="str">
        <x:v>Punktacja 5-4-3-2-1 za miejsca 1-5. Do sumy sezonu liczą się maksymalnie cztery najlepsze starty zawodnika. Wspólna liczba punktów oznacza wspólne miejsce.</x:v>
      </x:c>
      <x:c r="I3" s="8" t="str">
        <x:v>Punktacja 5-4-3-2-1 za miejsca 1-5. Do sumy sezonu liczą się maksymalnie cztery najlepsze starty zawodnika. Wspólna liczba punktów oznacza wspólne miejsce.</x:v>
      </x:c>
      <x:c r="J3" s="8" t="str">
        <x:v>Punktacja 5-4-3-2-1 za miejsca 1-5. Do sumy sezonu liczą się maksymalnie cztery najlepsze starty zawodnika. Wspólna liczba punktów oznacza wspólne miejsce.</x:v>
      </x:c>
      <x:c r="K3" s="8" t="str">
        <x:v>Punktacja 5-4-3-2-1 za miejsca 1-5. Do sumy sezonu liczą się maksymalnie cztery najlepsze starty zawodnika. Wspólna liczba punktów oznacza wspólne miejsce.</x:v>
      </x:c>
      <x:c r="L3" s="8" t="str">
        <x:v>Punktacja 5-4-3-2-1 za miejsca 1-5. Do sumy sezonu liczą się maksymalnie cztery najlepsze starty zawodnika. Wspólna liczba punktów oznacza wspólne miejsce.</x:v>
      </x:c>
      <x:c r="M3" s="8" t="str">
        <x:v>Punktacja 5-4-3-2-1 za miejsca 1-5. Do sumy sezonu liczą się maksymalnie cztery najlepsze starty zawodnika. Wspólna liczba punktów oznacza wspólne miejsce.</x:v>
      </x:c>
      <x:c r="N3" s="8" t="str">
        <x:v>Punktacja 5-4-3-2-1 za miejsca 1-5. Do sumy sezonu liczą się maksymalnie cztery najlepsze starty zawodnika. Wspólna liczba punktów oznacza wspólne miejsce.</x:v>
      </x:c>
      <x:c r="O3" s="8" t="str">
        <x:v>Punktacja 5-4-3-2-1 za miejsca 1-5. Do sumy sezonu liczą się maksymalnie cztery najlepsze starty zawodnika. Wspólna liczba punktów oznacza wspólne miejsce.</x:v>
      </x:c>
      <x:c r="P3" s="8" t="str">
        <x:v>Punktacja 5-4-3-2-1 za miejsca 1-5. Do sumy sezonu liczą się maksymalnie cztery najlepsze starty zawodnika. Wspólna liczba punktów oznacza wspólne miejsce.</x:v>
      </x:c>
      <x:c r="Q3" s="8" t="str">
        <x:v>Punktacja 5-4-3-2-1 za miejsca 1-5. Do sumy sezonu liczą się maksymalnie cztery najlepsze starty zawodnika. Wspólna liczba punktów oznacza wspólne miejsce.</x:v>
      </x:c>
      <x:c r="R3" s="8" t="str">
        <x:v>Punktacja 5-4-3-2-1 za miejsca 1-5. Do sumy sezonu liczą się maksymalnie cztery najlepsze starty zawodnika. Wspólna liczba punktów oznacza wspólne miejsce.</x:v>
      </x:c>
      <x:c r="S3" s="8" t="str">
        <x:v>Punktacja 5-4-3-2-1 za miejsca 1-5. Do sumy sezonu liczą się maksymalnie cztery najlepsze starty zawodnika. Wspólna liczba punktów oznacza wspólne miejsce.</x:v>
      </x:c>
      <x:c r="T3" s="8" t="str">
        <x:v>Punktacja 5-4-3-2-1 za miejsca 1-5. Do sumy sezonu liczą się maksymalnie cztery najlepsze starty zawodnika. Wspólna liczba punktów oznacza wspólne miejsce.</x:v>
      </x:c>
      <x:c r="U3" s="8" t="str">
        <x:v>Punktacja 5-4-3-2-1 za miejsca 1-5. Do sumy sezonu liczą się maksymalnie cztery najlepsze starty zawodnika. Wspólna liczba punktów oznacza wspólne miejsce.</x:v>
      </x:c>
      <x:c r="V3" s="8" t="str">
        <x:v>Punktacja 5-4-3-2-1 za miejsca 1-5. Do sumy sezonu liczą się maksymalnie cztery najlepsze starty zawodnika. Wspólna liczba punktów oznacza wspólne miejsce.</x:v>
      </x:c>
      <x:c r="W3" s="8" t="str">
        <x:v>Punktacja 5-4-3-2-1 za miejsca 1-5. Do sumy sezonu liczą się maksymalnie cztery najlepsze starty zawodnika. Wspólna liczba punktów oznacza wspólne miejsce.</x:v>
      </x:c>
      <x:c r="X3" s="8" t="str">
        <x:v>Punktacja 5-4-3-2-1 za miejsca 1-5. Do sumy sezonu liczą się maksymalnie cztery najlepsze starty zawodnika. Wspólna liczba punktów oznacza wspólne miejsce.</x:v>
      </x:c>
      <x:c r="Y3" s="8" t="str">
        <x:v>Punktacja 5-4-3-2-1 za miejsca 1-5. Do sumy sezonu liczą się maksymalnie cztery najlepsze starty zawodnika. Wspólna liczba punktów oznacza wspólne miejsce.</x:v>
      </x:c>
      <x:c r="Z3" s="8" t="str">
        <x:v>Punktacja 5-4-3-2-1 za miejsca 1-5. Do sumy sezonu liczą się maksymalnie cztery najlepsze starty zawodnika. Wspólna liczba punktów oznacza wspólne miejsce.</x:v>
      </x:c>
    </x:row>
    <x:row r="4" ht="2" customHeight="1">
      <x:c r="A4" t="str"/>
      <x:c r="B4" t="str"/>
      <x:c r="C4" t="str"/>
      <x:c r="D4" s="27" t="n">
        <x:v>1</x:v>
      </x:c>
      <x:c r="E4" s="27" t="n">
        <x:v>2</x:v>
      </x:c>
      <x:c r="F4" s="27" t="n">
        <x:v>3</x:v>
      </x:c>
      <x:c r="G4" s="27" t="n">
        <x:v>4</x:v>
      </x:c>
      <x:c r="H4" s="27" t="n">
        <x:v>5</x:v>
      </x:c>
      <x:c r="I4" s="27" t="n">
        <x:v>6</x:v>
      </x:c>
      <x:c r="J4" s="27" t="n">
        <x:v>7</x:v>
      </x:c>
      <x:c r="K4" s="27" t="n">
        <x:v>8</x:v>
      </x:c>
      <x:c r="L4" s="27" t="n">
        <x:v>9</x:v>
      </x:c>
      <x:c r="M4" s="27" t="n">
        <x:v>10</x:v>
      </x:c>
      <x:c r="N4" s="27" t="n">
        <x:v>11</x:v>
      </x:c>
      <x:c r="O4" s="27" t="n">
        <x:v>12</x:v>
      </x:c>
      <x:c r="P4" s="27" t="n">
        <x:v>13</x:v>
      </x:c>
      <x:c r="Q4" s="27" t="n">
        <x:v>14</x:v>
      </x:c>
      <x:c r="R4" s="27" t="n">
        <x:v>15</x:v>
      </x:c>
      <x:c r="S4" s="27" t="n">
        <x:v>16</x:v>
      </x:c>
      <x:c r="T4" s="27" t="n">
        <x:v>17</x:v>
      </x:c>
      <x:c r="U4" s="27" t="n">
        <x:v>18</x:v>
      </x:c>
      <x:c r="V4" s="27" t="n">
        <x:v>19</x:v>
      </x:c>
      <x:c r="W4" s="27" t="n">
        <x:v>20</x:v>
      </x:c>
      <x:c r="X4" t="str"/>
      <x:c r="Y4" t="str"/>
      <x:c r="Z4" t="str"/>
    </x:row>
    <x:row r="5" ht="44" customHeight="1">
      <x:c r="A5" s="14" t="str">
        <x:v>M-ce</x:v>
      </x:c>
      <x:c r="B5" s="14" t="str">
        <x:v>Zawodnik</x:v>
      </x:c>
      <x:c r="C5" s="14" t="str">
        <x:v>Liczba startów</x:v>
      </x:c>
      <x:c r="D5" s="14" t="str">
        <x:v>01
Siewierz
01.05.2026</x:v>
      </x:c>
      <x:c r="E5" s="14" t="str">
        <x:v>02
Czerwonak
30.05.2026</x:v>
      </x:c>
      <x:c r="F5" s="14" t="str">
        <x:v>03
Kleszczów
01.06.2026</x:v>
      </x:c>
      <x:c r="G5" s="14" t="str">
        <x:v>04
Ruciane-Nida
06.06.2026</x:v>
      </x:c>
      <x:c r="H5" s="14" t="str">
        <x:v>05
Prabuty
07.06.2026</x:v>
      </x:c>
      <x:c r="I5" s="14" t="str">
        <x:v>06
Tuszyn
12.06.2026</x:v>
      </x:c>
      <x:c r="J5" s="14" t="str">
        <x:v>07
Busko-Zdrój
27.06.2026</x:v>
      </x:c>
      <x:c r="K5" s="14" t="str">
        <x:v>08
Kleczew
26.07.2026</x:v>
      </x:c>
      <x:c r="L5" s="14" t="str">
        <x:v>09
Lubawka
26.07.2026</x:v>
      </x:c>
      <x:c r="M5" s="14" t="str">
        <x:v>10
Radwanice
02.08.2026</x:v>
      </x:c>
      <x:c r="N5" s="14" t="str">
        <x:v>11
Slot 11
</x:v>
      </x:c>
      <x:c r="O5" s="14" t="str">
        <x:v>12
Slot 12
</x:v>
      </x:c>
      <x:c r="P5" s="14" t="str">
        <x:v>13
Slot 13
</x:v>
      </x:c>
      <x:c r="Q5" s="14" t="str">
        <x:v>14
Slot 14
</x:v>
      </x:c>
      <x:c r="R5" s="14" t="str">
        <x:v>15
Slot 15
</x:v>
      </x:c>
      <x:c r="S5" s="14" t="str">
        <x:v>16
Slot 16
</x:v>
      </x:c>
      <x:c r="T5" s="14" t="str">
        <x:v>17
Slot 17
</x:v>
      </x:c>
      <x:c r="U5" s="14" t="str">
        <x:v>18
Slot 18
</x:v>
      </x:c>
      <x:c r="V5" s="14" t="str">
        <x:v>19
Slot 19
</x:v>
      </x:c>
      <x:c r="W5" s="14" t="str">
        <x:v>20
Slot 20
</x:v>
      </x:c>
      <x:c r="X5" s="14" t="str">
        <x:v>Suma wszystkich</x:v>
      </x:c>
      <x:c r="Y5" s="14" t="str">
        <x:v>Suma 4 najlepszych</x:v>
      </x:c>
      <x:c r="Z5" s="14" t="str">
        <x:v>Punkty odrzucone</x:v>
      </x:c>
    </x:row>
    <x:row r="6">
      <x:c r="A6" s="32" t="n">
        <x:f>IF(B6="","",1+COUNTIF($Y$6:$Y$55,"&gt;"&amp;Y6))</x:f>
        <x:v>1</x:v>
      </x:c>
      <x:c r="B6" s="20" t="str">
        <x:f>IFERROR(INDEX(Obliczenia!$B$6:$B$55,MATCH(LARGE(Obliczenia!$AA$6:$AA$55,1),Obliczenia!$AA$6:$AA$55,0)),"")</x:f>
        <x:v>Paweł Piskorz</x:v>
      </x:c>
      <x:c r="C6" s="20" t="n">
        <x:f>IF(B6="","",INDEX(Obliczenia!$C$6:$C$55,MATCH(B6,Obliczenia!$B$6:$B$55,0)))</x:f>
        <x:v>6</x:v>
      </x:c>
      <x:c r="D6" s="31" t="n">
        <x:f>IF(B6="","",INDEX(Obliczenia!$D$6:$D$55,MATCH(B6,Obliczenia!$B$6:$B$55,0)))</x:f>
        <x:v>0</x:v>
      </x:c>
      <x:c r="E6" s="31" t="n">
        <x:f>IF(B6="","",INDEX(Obliczenia!$E$6:$E$55,MATCH(B6,Obliczenia!$B$6:$B$55,0)))</x:f>
        <x:v>0</x:v>
      </x:c>
      <x:c r="F6" s="31" t="n">
        <x:f>IF(B6="","",INDEX(Obliczenia!$F$6:$F$55,MATCH(B6,Obliczenia!$B$6:$B$55,0)))</x:f>
        <x:v>1</x:v>
      </x:c>
      <x:c r="G6" s="31" t="n">
        <x:f>IF(B6="","",INDEX(Obliczenia!$G$6:$G$55,MATCH(B6,Obliczenia!$B$6:$B$55,0)))</x:f>
        <x:v>4</x:v>
      </x:c>
      <x:c r="H6" s="31" t="n">
        <x:f>IF(B6="","",INDEX(Obliczenia!$H$6:$H$55,MATCH(B6,Obliczenia!$B$6:$B$55,0)))</x:f>
        <x:v>0</x:v>
      </x:c>
      <x:c r="I6" s="31" t="n">
        <x:f>IF(B6="","",INDEX(Obliczenia!$I$6:$I$55,MATCH(B6,Obliczenia!$B$6:$B$55,0)))</x:f>
        <x:v>5</x:v>
      </x:c>
      <x:c r="J6" s="31" t="n">
        <x:f>IF(B6="","",INDEX(Obliczenia!$J$6:$J$55,MATCH(B6,Obliczenia!$B$6:$B$55,0)))</x:f>
        <x:v>0</x:v>
      </x:c>
      <x:c r="K6" s="31" t="n">
        <x:f>IF(B6="","",INDEX(Obliczenia!$K$6:$K$55,MATCH(B6,Obliczenia!$B$6:$B$55,0)))</x:f>
        <x:v>5</x:v>
      </x:c>
      <x:c r="L6" s="31" t="n">
        <x:f>IF(B6="","",INDEX(Obliczenia!$L$6:$L$55,MATCH(B6,Obliczenia!$B$6:$B$55,0)))</x:f>
        <x:v>5</x:v>
      </x:c>
      <x:c r="M6" s="31" t="n">
        <x:f>IF(B6="","",INDEX(Obliczenia!$M$6:$M$55,MATCH(B6,Obliczenia!$B$6:$B$55,0)))</x:f>
        <x:v>3</x:v>
      </x:c>
      <x:c r="N6" s="31" t="n">
        <x:f>IF(B6="","",INDEX(Obliczenia!$N$6:$N$55,MATCH(B6,Obliczenia!$B$6:$B$55,0)))</x:f>
        <x:v>0</x:v>
      </x:c>
      <x:c r="O6" s="31" t="n">
        <x:f>IF(B6="","",INDEX(Obliczenia!$O$6:$O$55,MATCH(B6,Obliczenia!$B$6:$B$55,0)))</x:f>
        <x:v>0</x:v>
      </x:c>
      <x:c r="P6" s="31" t="n">
        <x:f>IF(B6="","",INDEX(Obliczenia!$P$6:$P$55,MATCH(B6,Obliczenia!$B$6:$B$55,0)))</x:f>
        <x:v>0</x:v>
      </x:c>
      <x:c r="Q6" s="31" t="n">
        <x:f>IF(B6="","",INDEX(Obliczenia!$Q$6:$Q$55,MATCH(B6,Obliczenia!$B$6:$B$55,0)))</x:f>
        <x:v>0</x:v>
      </x:c>
      <x:c r="R6" s="31" t="n">
        <x:f>IF(B6="","",INDEX(Obliczenia!$R$6:$R$55,MATCH(B6,Obliczenia!$B$6:$B$55,0)))</x:f>
        <x:v>0</x:v>
      </x:c>
      <x:c r="S6" s="31" t="n">
        <x:f>IF(B6="","",INDEX(Obliczenia!$S$6:$S$55,MATCH(B6,Obliczenia!$B$6:$B$55,0)))</x:f>
        <x:v>0</x:v>
      </x:c>
      <x:c r="T6" s="31" t="n">
        <x:f>IF(B6="","",INDEX(Obliczenia!$T$6:$T$55,MATCH(B6,Obliczenia!$B$6:$B$55,0)))</x:f>
        <x:v>0</x:v>
      </x:c>
      <x:c r="U6" s="31" t="n">
        <x:f>IF(B6="","",INDEX(Obliczenia!$U$6:$U$55,MATCH(B6,Obliczenia!$B$6:$B$55,0)))</x:f>
        <x:v>0</x:v>
      </x:c>
      <x:c r="V6" s="31" t="n">
        <x:f>IF(B6="","",INDEX(Obliczenia!$V$6:$V$55,MATCH(B6,Obliczenia!$B$6:$B$55,0)))</x:f>
        <x:v>0</x:v>
      </x:c>
      <x:c r="W6" s="31" t="n">
        <x:f>IF(B6="","",INDEX(Obliczenia!$W$6:$W$55,MATCH(B6,Obliczenia!$B$6:$B$55,0)))</x:f>
        <x:v>0</x:v>
      </x:c>
      <x:c r="X6" s="20" t="n">
        <x:f>IF(B6="","",INDEX(Obliczenia!$X$6:$X$55,MATCH(B6,Obliczenia!$B$6:$B$55,0)))</x:f>
        <x:v>23</x:v>
      </x:c>
      <x:c r="Y6" s="20" t="n">
        <x:f>IF(B6="","",INDEX(Obliczenia!$Y$6:$Y$55,MATCH(B6,Obliczenia!$B$6:$B$55,0)))</x:f>
        <x:v>19</x:v>
      </x:c>
      <x:c r="Z6" s="20" t="n">
        <x:f>IF(B6="","",INDEX(Obliczenia!$Z$6:$Z$55,MATCH(B6,Obliczenia!$B$6:$B$55,0)))</x:f>
        <x:v>4</x:v>
      </x:c>
    </x:row>
    <x:row r="7">
      <x:c r="A7" s="33" t="n">
        <x:f>IF(B7="","",1+COUNTIF($Y$6:$Y$55,"&gt;"&amp;Y7))</x:f>
        <x:v>2</x:v>
      </x:c>
      <x:c r="B7" s="17" t="str">
        <x:f>IFERROR(INDEX(Obliczenia!$B$6:$B$55,MATCH(LARGE(Obliczenia!$AA$6:$AA$55,2),Obliczenia!$AA$6:$AA$55,0)),"")</x:f>
        <x:v>Łukasz Kieliszkowski</x:v>
      </x:c>
      <x:c r="C7" s="17" t="n">
        <x:f>IF(B7="","",INDEX(Obliczenia!$C$6:$C$55,MATCH(B7,Obliczenia!$B$6:$B$55,0)))</x:f>
        <x:v>4</x:v>
      </x:c>
      <x:c r="D7" s="28" t="n">
        <x:f>IF(B7="","",INDEX(Obliczenia!$D$6:$D$55,MATCH(B7,Obliczenia!$B$6:$B$55,0)))</x:f>
        <x:v>5</x:v>
      </x:c>
      <x:c r="E7" s="28" t="n">
        <x:f>IF(B7="","",INDEX(Obliczenia!$E$6:$E$55,MATCH(B7,Obliczenia!$B$6:$B$55,0)))</x:f>
        <x:v>0</x:v>
      </x:c>
      <x:c r="F7" s="28" t="n">
        <x:f>IF(B7="","",INDEX(Obliczenia!$F$6:$F$55,MATCH(B7,Obliczenia!$B$6:$B$55,0)))</x:f>
        <x:v>5</x:v>
      </x:c>
      <x:c r="G7" s="28" t="n">
        <x:f>IF(B7="","",INDEX(Obliczenia!$G$6:$G$55,MATCH(B7,Obliczenia!$B$6:$B$55,0)))</x:f>
        <x:v>0</x:v>
      </x:c>
      <x:c r="H7" s="28" t="n">
        <x:f>IF(B7="","",INDEX(Obliczenia!$H$6:$H$55,MATCH(B7,Obliczenia!$B$6:$B$55,0)))</x:f>
        <x:v>5</x:v>
      </x:c>
      <x:c r="I7" s="28" t="n">
        <x:f>IF(B7="","",INDEX(Obliczenia!$I$6:$I$55,MATCH(B7,Obliczenia!$B$6:$B$55,0)))</x:f>
        <x:v>3</x:v>
      </x:c>
      <x:c r="J7" s="28" t="n">
        <x:f>IF(B7="","",INDEX(Obliczenia!$J$6:$J$55,MATCH(B7,Obliczenia!$B$6:$B$55,0)))</x:f>
        <x:v>0</x:v>
      </x:c>
      <x:c r="K7" s="28" t="n">
        <x:f>IF(B7="","",INDEX(Obliczenia!$K$6:$K$55,MATCH(B7,Obliczenia!$B$6:$B$55,0)))</x:f>
        <x:v>0</x:v>
      </x:c>
      <x:c r="L7" s="28" t="n">
        <x:f>IF(B7="","",INDEX(Obliczenia!$L$6:$L$55,MATCH(B7,Obliczenia!$B$6:$B$55,0)))</x:f>
        <x:v>0</x:v>
      </x:c>
      <x:c r="M7" s="28" t="n">
        <x:f>IF(B7="","",INDEX(Obliczenia!$M$6:$M$55,MATCH(B7,Obliczenia!$B$6:$B$55,0)))</x:f>
        <x:v>0</x:v>
      </x:c>
      <x:c r="N7" s="28" t="n">
        <x:f>IF(B7="","",INDEX(Obliczenia!$N$6:$N$55,MATCH(B7,Obliczenia!$B$6:$B$55,0)))</x:f>
        <x:v>0</x:v>
      </x:c>
      <x:c r="O7" s="28" t="n">
        <x:f>IF(B7="","",INDEX(Obliczenia!$O$6:$O$55,MATCH(B7,Obliczenia!$B$6:$B$55,0)))</x:f>
        <x:v>0</x:v>
      </x:c>
      <x:c r="P7" s="28" t="n">
        <x:f>IF(B7="","",INDEX(Obliczenia!$P$6:$P$55,MATCH(B7,Obliczenia!$B$6:$B$55,0)))</x:f>
        <x:v>0</x:v>
      </x:c>
      <x:c r="Q7" s="28" t="n">
        <x:f>IF(B7="","",INDEX(Obliczenia!$Q$6:$Q$55,MATCH(B7,Obliczenia!$B$6:$B$55,0)))</x:f>
        <x:v>0</x:v>
      </x:c>
      <x:c r="R7" s="28" t="n">
        <x:f>IF(B7="","",INDEX(Obliczenia!$R$6:$R$55,MATCH(B7,Obliczenia!$B$6:$B$55,0)))</x:f>
        <x:v>0</x:v>
      </x:c>
      <x:c r="S7" s="28" t="n">
        <x:f>IF(B7="","",INDEX(Obliczenia!$S$6:$S$55,MATCH(B7,Obliczenia!$B$6:$B$55,0)))</x:f>
        <x:v>0</x:v>
      </x:c>
      <x:c r="T7" s="28" t="n">
        <x:f>IF(B7="","",INDEX(Obliczenia!$T$6:$T$55,MATCH(B7,Obliczenia!$B$6:$B$55,0)))</x:f>
        <x:v>0</x:v>
      </x:c>
      <x:c r="U7" s="28" t="n">
        <x:f>IF(B7="","",INDEX(Obliczenia!$U$6:$U$55,MATCH(B7,Obliczenia!$B$6:$B$55,0)))</x:f>
        <x:v>0</x:v>
      </x:c>
      <x:c r="V7" s="28" t="n">
        <x:f>IF(B7="","",INDEX(Obliczenia!$V$6:$V$55,MATCH(B7,Obliczenia!$B$6:$B$55,0)))</x:f>
        <x:v>0</x:v>
      </x:c>
      <x:c r="W7" s="28" t="n">
        <x:f>IF(B7="","",INDEX(Obliczenia!$W$6:$W$55,MATCH(B7,Obliczenia!$B$6:$B$55,0)))</x:f>
        <x:v>0</x:v>
      </x:c>
      <x:c r="X7" s="17" t="n">
        <x:f>IF(B7="","",INDEX(Obliczenia!$X$6:$X$55,MATCH(B7,Obliczenia!$B$6:$B$55,0)))</x:f>
        <x:v>18</x:v>
      </x:c>
      <x:c r="Y7" s="29" t="n">
        <x:f>IF(B7="","",INDEX(Obliczenia!$Y$6:$Y$55,MATCH(B7,Obliczenia!$B$6:$B$55,0)))</x:f>
        <x:v>18</x:v>
      </x:c>
      <x:c r="Z7" s="30" t="n">
        <x:f>IF(B7="","",INDEX(Obliczenia!$Z$6:$Z$55,MATCH(B7,Obliczenia!$B$6:$B$55,0)))</x:f>
        <x:v>0</x:v>
      </x:c>
    </x:row>
    <x:row r="8">
      <x:c r="A8" s="33" t="n">
        <x:f>IF(B8="","",1+COUNTIF($Y$6:$Y$55,"&gt;"&amp;Y8))</x:f>
        <x:v>2</x:v>
      </x:c>
      <x:c r="B8" s="17" t="str">
        <x:f>IFERROR(INDEX(Obliczenia!$B$6:$B$55,MATCH(LARGE(Obliczenia!$AA$6:$AA$55,3),Obliczenia!$AA$6:$AA$55,0)),"")</x:f>
        <x:v>Rafał Sojc</x:v>
      </x:c>
      <x:c r="C8" s="17" t="n">
        <x:f>IF(B8="","",INDEX(Obliczenia!$C$6:$C$55,MATCH(B8,Obliczenia!$B$6:$B$55,0)))</x:f>
        <x:v>4</x:v>
      </x:c>
      <x:c r="D8" s="28" t="n">
        <x:f>IF(B8="","",INDEX(Obliczenia!$D$6:$D$55,MATCH(B8,Obliczenia!$B$6:$B$55,0)))</x:f>
        <x:v>0</x:v>
      </x:c>
      <x:c r="E8" s="28" t="n">
        <x:f>IF(B8="","",INDEX(Obliczenia!$E$6:$E$55,MATCH(B8,Obliczenia!$B$6:$B$55,0)))</x:f>
        <x:v>0</x:v>
      </x:c>
      <x:c r="F8" s="28" t="n">
        <x:f>IF(B8="","",INDEX(Obliczenia!$F$6:$F$55,MATCH(B8,Obliczenia!$B$6:$B$55,0)))</x:f>
        <x:v>4</x:v>
      </x:c>
      <x:c r="G8" s="28" t="n">
        <x:f>IF(B8="","",INDEX(Obliczenia!$G$6:$G$55,MATCH(B8,Obliczenia!$B$6:$B$55,0)))</x:f>
        <x:v>5</x:v>
      </x:c>
      <x:c r="H8" s="28" t="n">
        <x:f>IF(B8="","",INDEX(Obliczenia!$H$6:$H$55,MATCH(B8,Obliczenia!$B$6:$B$55,0)))</x:f>
        <x:v>0</x:v>
      </x:c>
      <x:c r="I8" s="28" t="n">
        <x:f>IF(B8="","",INDEX(Obliczenia!$I$6:$I$55,MATCH(B8,Obliczenia!$B$6:$B$55,0)))</x:f>
        <x:v>0</x:v>
      </x:c>
      <x:c r="J8" s="28" t="n">
        <x:f>IF(B8="","",INDEX(Obliczenia!$J$6:$J$55,MATCH(B8,Obliczenia!$B$6:$B$55,0)))</x:f>
        <x:v>5</x:v>
      </x:c>
      <x:c r="K8" s="28" t="n">
        <x:f>IF(B8="","",INDEX(Obliczenia!$K$6:$K$55,MATCH(B8,Obliczenia!$B$6:$B$55,0)))</x:f>
        <x:v>0</x:v>
      </x:c>
      <x:c r="L8" s="28" t="n">
        <x:f>IF(B8="","",INDEX(Obliczenia!$L$6:$L$55,MATCH(B8,Obliczenia!$B$6:$B$55,0)))</x:f>
        <x:v>4</x:v>
      </x:c>
      <x:c r="M8" s="28" t="n">
        <x:f>IF(B8="","",INDEX(Obliczenia!$M$6:$M$55,MATCH(B8,Obliczenia!$B$6:$B$55,0)))</x:f>
        <x:v>0</x:v>
      </x:c>
      <x:c r="N8" s="28" t="n">
        <x:f>IF(B8="","",INDEX(Obliczenia!$N$6:$N$55,MATCH(B8,Obliczenia!$B$6:$B$55,0)))</x:f>
        <x:v>0</x:v>
      </x:c>
      <x:c r="O8" s="28" t="n">
        <x:f>IF(B8="","",INDEX(Obliczenia!$O$6:$O$55,MATCH(B8,Obliczenia!$B$6:$B$55,0)))</x:f>
        <x:v>0</x:v>
      </x:c>
      <x:c r="P8" s="28" t="n">
        <x:f>IF(B8="","",INDEX(Obliczenia!$P$6:$P$55,MATCH(B8,Obliczenia!$B$6:$B$55,0)))</x:f>
        <x:v>0</x:v>
      </x:c>
      <x:c r="Q8" s="28" t="n">
        <x:f>IF(B8="","",INDEX(Obliczenia!$Q$6:$Q$55,MATCH(B8,Obliczenia!$B$6:$B$55,0)))</x:f>
        <x:v>0</x:v>
      </x:c>
      <x:c r="R8" s="28" t="n">
        <x:f>IF(B8="","",INDEX(Obliczenia!$R$6:$R$55,MATCH(B8,Obliczenia!$B$6:$B$55,0)))</x:f>
        <x:v>0</x:v>
      </x:c>
      <x:c r="S8" s="28" t="n">
        <x:f>IF(B8="","",INDEX(Obliczenia!$S$6:$S$55,MATCH(B8,Obliczenia!$B$6:$B$55,0)))</x:f>
        <x:v>0</x:v>
      </x:c>
      <x:c r="T8" s="28" t="n">
        <x:f>IF(B8="","",INDEX(Obliczenia!$T$6:$T$55,MATCH(B8,Obliczenia!$B$6:$B$55,0)))</x:f>
        <x:v>0</x:v>
      </x:c>
      <x:c r="U8" s="28" t="n">
        <x:f>IF(B8="","",INDEX(Obliczenia!$U$6:$U$55,MATCH(B8,Obliczenia!$B$6:$B$55,0)))</x:f>
        <x:v>0</x:v>
      </x:c>
      <x:c r="V8" s="28" t="n">
        <x:f>IF(B8="","",INDEX(Obliczenia!$V$6:$V$55,MATCH(B8,Obliczenia!$B$6:$B$55,0)))</x:f>
        <x:v>0</x:v>
      </x:c>
      <x:c r="W8" s="28" t="n">
        <x:f>IF(B8="","",INDEX(Obliczenia!$W$6:$W$55,MATCH(B8,Obliczenia!$B$6:$B$55,0)))</x:f>
        <x:v>0</x:v>
      </x:c>
      <x:c r="X8" s="17" t="n">
        <x:f>IF(B8="","",INDEX(Obliczenia!$X$6:$X$55,MATCH(B8,Obliczenia!$B$6:$B$55,0)))</x:f>
        <x:v>18</x:v>
      </x:c>
      <x:c r="Y8" s="29" t="n">
        <x:f>IF(B8="","",INDEX(Obliczenia!$Y$6:$Y$55,MATCH(B8,Obliczenia!$B$6:$B$55,0)))</x:f>
        <x:v>18</x:v>
      </x:c>
      <x:c r="Z8" s="30" t="n">
        <x:f>IF(B8="","",INDEX(Obliczenia!$Z$6:$Z$55,MATCH(B8,Obliczenia!$B$6:$B$55,0)))</x:f>
        <x:v>0</x:v>
      </x:c>
    </x:row>
    <x:row r="9">
      <x:c r="A9" s="33" t="n">
        <x:f>IF(B9="","",1+COUNTIF($Y$6:$Y$55,"&gt;"&amp;Y9))</x:f>
        <x:v>4</x:v>
      </x:c>
      <x:c r="B9" s="17" t="str">
        <x:f>IFERROR(INDEX(Obliczenia!$B$6:$B$55,MATCH(LARGE(Obliczenia!$AA$6:$AA$55,4),Obliczenia!$AA$6:$AA$55,0)),"")</x:f>
        <x:v>Marcin Stankiewicz</x:v>
      </x:c>
      <x:c r="C9" s="17" t="n">
        <x:f>IF(B9="","",INDEX(Obliczenia!$C$6:$C$55,MATCH(B9,Obliczenia!$B$6:$B$55,0)))</x:f>
        <x:v>4</x:v>
      </x:c>
      <x:c r="D9" s="28" t="n">
        <x:f>IF(B9="","",INDEX(Obliczenia!$D$6:$D$55,MATCH(B9,Obliczenia!$B$6:$B$55,0)))</x:f>
        <x:v>4</x:v>
      </x:c>
      <x:c r="E9" s="28" t="n">
        <x:f>IF(B9="","",INDEX(Obliczenia!$E$6:$E$55,MATCH(B9,Obliczenia!$B$6:$B$55,0)))</x:f>
        <x:v>0</x:v>
      </x:c>
      <x:c r="F9" s="28" t="n">
        <x:f>IF(B9="","",INDEX(Obliczenia!$F$6:$F$55,MATCH(B9,Obliczenia!$B$6:$B$55,0)))</x:f>
        <x:v>0</x:v>
      </x:c>
      <x:c r="G9" s="28" t="n">
        <x:f>IF(B9="","",INDEX(Obliczenia!$G$6:$G$55,MATCH(B9,Obliczenia!$B$6:$B$55,0)))</x:f>
        <x:v>3</x:v>
      </x:c>
      <x:c r="H9" s="28" t="n">
        <x:f>IF(B9="","",INDEX(Obliczenia!$H$6:$H$55,MATCH(B9,Obliczenia!$B$6:$B$55,0)))</x:f>
        <x:v>0</x:v>
      </x:c>
      <x:c r="I9" s="28" t="n">
        <x:f>IF(B9="","",INDEX(Obliczenia!$I$6:$I$55,MATCH(B9,Obliczenia!$B$6:$B$55,0)))</x:f>
        <x:v>0</x:v>
      </x:c>
      <x:c r="J9" s="28" t="n">
        <x:f>IF(B9="","",INDEX(Obliczenia!$J$6:$J$55,MATCH(B9,Obliczenia!$B$6:$B$55,0)))</x:f>
        <x:v>4</x:v>
      </x:c>
      <x:c r="K9" s="28" t="n">
        <x:f>IF(B9="","",INDEX(Obliczenia!$K$6:$K$55,MATCH(B9,Obliczenia!$B$6:$B$55,0)))</x:f>
        <x:v>4</x:v>
      </x:c>
      <x:c r="L9" s="28" t="n">
        <x:f>IF(B9="","",INDEX(Obliczenia!$L$6:$L$55,MATCH(B9,Obliczenia!$B$6:$B$55,0)))</x:f>
        <x:v>0</x:v>
      </x:c>
      <x:c r="M9" s="28" t="n">
        <x:f>IF(B9="","",INDEX(Obliczenia!$M$6:$M$55,MATCH(B9,Obliczenia!$B$6:$B$55,0)))</x:f>
        <x:v>0</x:v>
      </x:c>
      <x:c r="N9" s="28" t="n">
        <x:f>IF(B9="","",INDEX(Obliczenia!$N$6:$N$55,MATCH(B9,Obliczenia!$B$6:$B$55,0)))</x:f>
        <x:v>0</x:v>
      </x:c>
      <x:c r="O9" s="28" t="n">
        <x:f>IF(B9="","",INDEX(Obliczenia!$O$6:$O$55,MATCH(B9,Obliczenia!$B$6:$B$55,0)))</x:f>
        <x:v>0</x:v>
      </x:c>
      <x:c r="P9" s="28" t="n">
        <x:f>IF(B9="","",INDEX(Obliczenia!$P$6:$P$55,MATCH(B9,Obliczenia!$B$6:$B$55,0)))</x:f>
        <x:v>0</x:v>
      </x:c>
      <x:c r="Q9" s="28" t="n">
        <x:f>IF(B9="","",INDEX(Obliczenia!$Q$6:$Q$55,MATCH(B9,Obliczenia!$B$6:$B$55,0)))</x:f>
        <x:v>0</x:v>
      </x:c>
      <x:c r="R9" s="28" t="n">
        <x:f>IF(B9="","",INDEX(Obliczenia!$R$6:$R$55,MATCH(B9,Obliczenia!$B$6:$B$55,0)))</x:f>
        <x:v>0</x:v>
      </x:c>
      <x:c r="S9" s="28" t="n">
        <x:f>IF(B9="","",INDEX(Obliczenia!$S$6:$S$55,MATCH(B9,Obliczenia!$B$6:$B$55,0)))</x:f>
        <x:v>0</x:v>
      </x:c>
      <x:c r="T9" s="28" t="n">
        <x:f>IF(B9="","",INDEX(Obliczenia!$T$6:$T$55,MATCH(B9,Obliczenia!$B$6:$B$55,0)))</x:f>
        <x:v>0</x:v>
      </x:c>
      <x:c r="U9" s="28" t="n">
        <x:f>IF(B9="","",INDEX(Obliczenia!$U$6:$U$55,MATCH(B9,Obliczenia!$B$6:$B$55,0)))</x:f>
        <x:v>0</x:v>
      </x:c>
      <x:c r="V9" s="28" t="n">
        <x:f>IF(B9="","",INDEX(Obliczenia!$V$6:$V$55,MATCH(B9,Obliczenia!$B$6:$B$55,0)))</x:f>
        <x:v>0</x:v>
      </x:c>
      <x:c r="W9" s="28" t="n">
        <x:f>IF(B9="","",INDEX(Obliczenia!$W$6:$W$55,MATCH(B9,Obliczenia!$B$6:$B$55,0)))</x:f>
        <x:v>0</x:v>
      </x:c>
      <x:c r="X9" s="17" t="n">
        <x:f>IF(B9="","",INDEX(Obliczenia!$X$6:$X$55,MATCH(B9,Obliczenia!$B$6:$B$55,0)))</x:f>
        <x:v>15</x:v>
      </x:c>
      <x:c r="Y9" s="29" t="n">
        <x:f>IF(B9="","",INDEX(Obliczenia!$Y$6:$Y$55,MATCH(B9,Obliczenia!$B$6:$B$55,0)))</x:f>
        <x:v>15</x:v>
      </x:c>
      <x:c r="Z9" s="30" t="n">
        <x:f>IF(B9="","",INDEX(Obliczenia!$Z$6:$Z$55,MATCH(B9,Obliczenia!$B$6:$B$55,0)))</x:f>
        <x:v>0</x:v>
      </x:c>
    </x:row>
    <x:row r="10">
      <x:c r="A10" s="33" t="n">
        <x:f>IF(B10="","",1+COUNTIF($Y$6:$Y$55,"&gt;"&amp;Y10))</x:f>
        <x:v>5</x:v>
      </x:c>
      <x:c r="B10" s="17" t="str">
        <x:f>IFERROR(INDEX(Obliczenia!$B$6:$B$55,MATCH(LARGE(Obliczenia!$AA$6:$AA$55,5),Obliczenia!$AA$6:$AA$55,0)),"")</x:f>
        <x:v>Jakub Szczechowski</x:v>
      </x:c>
      <x:c r="C10" s="17" t="n">
        <x:f>IF(B10="","",INDEX(Obliczenia!$C$6:$C$55,MATCH(B10,Obliczenia!$B$6:$B$55,0)))</x:f>
        <x:v>3</x:v>
      </x:c>
      <x:c r="D10" s="28" t="n">
        <x:f>IF(B10="","",INDEX(Obliczenia!$D$6:$D$55,MATCH(B10,Obliczenia!$B$6:$B$55,0)))</x:f>
        <x:v>0</x:v>
      </x:c>
      <x:c r="E10" s="28" t="n">
        <x:f>IF(B10="","",INDEX(Obliczenia!$E$6:$E$55,MATCH(B10,Obliczenia!$B$6:$B$55,0)))</x:f>
        <x:v>5</x:v>
      </x:c>
      <x:c r="F10" s="28" t="n">
        <x:f>IF(B10="","",INDEX(Obliczenia!$F$6:$F$55,MATCH(B10,Obliczenia!$B$6:$B$55,0)))</x:f>
        <x:v>0</x:v>
      </x:c>
      <x:c r="G10" s="28" t="n">
        <x:f>IF(B10="","",INDEX(Obliczenia!$G$6:$G$55,MATCH(B10,Obliczenia!$B$6:$B$55,0)))</x:f>
        <x:v>0</x:v>
      </x:c>
      <x:c r="H10" s="28" t="n">
        <x:f>IF(B10="","",INDEX(Obliczenia!$H$6:$H$55,MATCH(B10,Obliczenia!$B$6:$B$55,0)))</x:f>
        <x:v>4</x:v>
      </x:c>
      <x:c r="I10" s="28" t="n">
        <x:f>IF(B10="","",INDEX(Obliczenia!$I$6:$I$55,MATCH(B10,Obliczenia!$B$6:$B$55,0)))</x:f>
        <x:v>0</x:v>
      </x:c>
      <x:c r="J10" s="28" t="n">
        <x:f>IF(B10="","",INDEX(Obliczenia!$J$6:$J$55,MATCH(B10,Obliczenia!$B$6:$B$55,0)))</x:f>
        <x:v>0</x:v>
      </x:c>
      <x:c r="K10" s="28" t="n">
        <x:f>IF(B10="","",INDEX(Obliczenia!$K$6:$K$55,MATCH(B10,Obliczenia!$B$6:$B$55,0)))</x:f>
        <x:v>0</x:v>
      </x:c>
      <x:c r="L10" s="28" t="n">
        <x:f>IF(B10="","",INDEX(Obliczenia!$L$6:$L$55,MATCH(B10,Obliczenia!$B$6:$B$55,0)))</x:f>
        <x:v>0</x:v>
      </x:c>
      <x:c r="M10" s="28" t="n">
        <x:f>IF(B10="","",INDEX(Obliczenia!$M$6:$M$55,MATCH(B10,Obliczenia!$B$6:$B$55,0)))</x:f>
        <x:v>5</x:v>
      </x:c>
      <x:c r="N10" s="28" t="n">
        <x:f>IF(B10="","",INDEX(Obliczenia!$N$6:$N$55,MATCH(B10,Obliczenia!$B$6:$B$55,0)))</x:f>
        <x:v>0</x:v>
      </x:c>
      <x:c r="O10" s="28" t="n">
        <x:f>IF(B10="","",INDEX(Obliczenia!$O$6:$O$55,MATCH(B10,Obliczenia!$B$6:$B$55,0)))</x:f>
        <x:v>0</x:v>
      </x:c>
      <x:c r="P10" s="28" t="n">
        <x:f>IF(B10="","",INDEX(Obliczenia!$P$6:$P$55,MATCH(B10,Obliczenia!$B$6:$B$55,0)))</x:f>
        <x:v>0</x:v>
      </x:c>
      <x:c r="Q10" s="28" t="n">
        <x:f>IF(B10="","",INDEX(Obliczenia!$Q$6:$Q$55,MATCH(B10,Obliczenia!$B$6:$B$55,0)))</x:f>
        <x:v>0</x:v>
      </x:c>
      <x:c r="R10" s="28" t="n">
        <x:f>IF(B10="","",INDEX(Obliczenia!$R$6:$R$55,MATCH(B10,Obliczenia!$B$6:$B$55,0)))</x:f>
        <x:v>0</x:v>
      </x:c>
      <x:c r="S10" s="28" t="n">
        <x:f>IF(B10="","",INDEX(Obliczenia!$S$6:$S$55,MATCH(B10,Obliczenia!$B$6:$B$55,0)))</x:f>
        <x:v>0</x:v>
      </x:c>
      <x:c r="T10" s="28" t="n">
        <x:f>IF(B10="","",INDEX(Obliczenia!$T$6:$T$55,MATCH(B10,Obliczenia!$B$6:$B$55,0)))</x:f>
        <x:v>0</x:v>
      </x:c>
      <x:c r="U10" s="28" t="n">
        <x:f>IF(B10="","",INDEX(Obliczenia!$U$6:$U$55,MATCH(B10,Obliczenia!$B$6:$B$55,0)))</x:f>
        <x:v>0</x:v>
      </x:c>
      <x:c r="V10" s="28" t="n">
        <x:f>IF(B10="","",INDEX(Obliczenia!$V$6:$V$55,MATCH(B10,Obliczenia!$B$6:$B$55,0)))</x:f>
        <x:v>0</x:v>
      </x:c>
      <x:c r="W10" s="28" t="n">
        <x:f>IF(B10="","",INDEX(Obliczenia!$W$6:$W$55,MATCH(B10,Obliczenia!$B$6:$B$55,0)))</x:f>
        <x:v>0</x:v>
      </x:c>
      <x:c r="X10" s="17" t="n">
        <x:f>IF(B10="","",INDEX(Obliczenia!$X$6:$X$55,MATCH(B10,Obliczenia!$B$6:$B$55,0)))</x:f>
        <x:v>14</x:v>
      </x:c>
      <x:c r="Y10" s="29" t="n">
        <x:f>IF(B10="","",INDEX(Obliczenia!$Y$6:$Y$55,MATCH(B10,Obliczenia!$B$6:$B$55,0)))</x:f>
        <x:v>14</x:v>
      </x:c>
      <x:c r="Z10" s="30" t="n">
        <x:f>IF(B10="","",INDEX(Obliczenia!$Z$6:$Z$55,MATCH(B10,Obliczenia!$B$6:$B$55,0)))</x:f>
        <x:v>0</x:v>
      </x:c>
    </x:row>
    <x:row r="11">
      <x:c r="A11" s="33" t="n">
        <x:f>IF(B11="","",1+COUNTIF($Y$6:$Y$55,"&gt;"&amp;Y11))</x:f>
        <x:v>6</x:v>
      </x:c>
      <x:c r="B11" s="17" t="str">
        <x:f>IFERROR(INDEX(Obliczenia!$B$6:$B$55,MATCH(LARGE(Obliczenia!$AA$6:$AA$55,6),Obliczenia!$AA$6:$AA$55,0)),"")</x:f>
        <x:v>Bartłomiej Bąbol</x:v>
      </x:c>
      <x:c r="C11" s="17" t="n">
        <x:f>IF(B11="","",INDEX(Obliczenia!$C$6:$C$55,MATCH(B11,Obliczenia!$B$6:$B$55,0)))</x:f>
        <x:v>5</x:v>
      </x:c>
      <x:c r="D11" s="28" t="n">
        <x:f>IF(B11="","",INDEX(Obliczenia!$D$6:$D$55,MATCH(B11,Obliczenia!$B$6:$B$55,0)))</x:f>
        <x:v>3</x:v>
      </x:c>
      <x:c r="E11" s="28" t="n">
        <x:f>IF(B11="","",INDEX(Obliczenia!$E$6:$E$55,MATCH(B11,Obliczenia!$B$6:$B$55,0)))</x:f>
        <x:v>0</x:v>
      </x:c>
      <x:c r="F11" s="28" t="n">
        <x:f>IF(B11="","",INDEX(Obliczenia!$F$6:$F$55,MATCH(B11,Obliczenia!$B$6:$B$55,0)))</x:f>
        <x:v>3</x:v>
      </x:c>
      <x:c r="G11" s="28" t="n">
        <x:f>IF(B11="","",INDEX(Obliczenia!$G$6:$G$55,MATCH(B11,Obliczenia!$B$6:$B$55,0)))</x:f>
        <x:v>0</x:v>
      </x:c>
      <x:c r="H11" s="28" t="n">
        <x:f>IF(B11="","",INDEX(Obliczenia!$H$6:$H$55,MATCH(B11,Obliczenia!$B$6:$B$55,0)))</x:f>
        <x:v>3</x:v>
      </x:c>
      <x:c r="I11" s="28" t="n">
        <x:f>IF(B11="","",INDEX(Obliczenia!$I$6:$I$55,MATCH(B11,Obliczenia!$B$6:$B$55,0)))</x:f>
        <x:v>2</x:v>
      </x:c>
      <x:c r="J11" s="28" t="n">
        <x:f>IF(B11="","",INDEX(Obliczenia!$J$6:$J$55,MATCH(B11,Obliczenia!$B$6:$B$55,0)))</x:f>
        <x:v>4</x:v>
      </x:c>
      <x:c r="K11" s="28" t="n">
        <x:f>IF(B11="","",INDEX(Obliczenia!$K$6:$K$55,MATCH(B11,Obliczenia!$B$6:$B$55,0)))</x:f>
        <x:v>0</x:v>
      </x:c>
      <x:c r="L11" s="28" t="n">
        <x:f>IF(B11="","",INDEX(Obliczenia!$L$6:$L$55,MATCH(B11,Obliczenia!$B$6:$B$55,0)))</x:f>
        <x:v>0</x:v>
      </x:c>
      <x:c r="M11" s="28" t="n">
        <x:f>IF(B11="","",INDEX(Obliczenia!$M$6:$M$55,MATCH(B11,Obliczenia!$B$6:$B$55,0)))</x:f>
        <x:v>0</x:v>
      </x:c>
      <x:c r="N11" s="28" t="n">
        <x:f>IF(B11="","",INDEX(Obliczenia!$N$6:$N$55,MATCH(B11,Obliczenia!$B$6:$B$55,0)))</x:f>
        <x:v>0</x:v>
      </x:c>
      <x:c r="O11" s="28" t="n">
        <x:f>IF(B11="","",INDEX(Obliczenia!$O$6:$O$55,MATCH(B11,Obliczenia!$B$6:$B$55,0)))</x:f>
        <x:v>0</x:v>
      </x:c>
      <x:c r="P11" s="28" t="n">
        <x:f>IF(B11="","",INDEX(Obliczenia!$P$6:$P$55,MATCH(B11,Obliczenia!$B$6:$B$55,0)))</x:f>
        <x:v>0</x:v>
      </x:c>
      <x:c r="Q11" s="28" t="n">
        <x:f>IF(B11="","",INDEX(Obliczenia!$Q$6:$Q$55,MATCH(B11,Obliczenia!$B$6:$B$55,0)))</x:f>
        <x:v>0</x:v>
      </x:c>
      <x:c r="R11" s="28" t="n">
        <x:f>IF(B11="","",INDEX(Obliczenia!$R$6:$R$55,MATCH(B11,Obliczenia!$B$6:$B$55,0)))</x:f>
        <x:v>0</x:v>
      </x:c>
      <x:c r="S11" s="28" t="n">
        <x:f>IF(B11="","",INDEX(Obliczenia!$S$6:$S$55,MATCH(B11,Obliczenia!$B$6:$B$55,0)))</x:f>
        <x:v>0</x:v>
      </x:c>
      <x:c r="T11" s="28" t="n">
        <x:f>IF(B11="","",INDEX(Obliczenia!$T$6:$T$55,MATCH(B11,Obliczenia!$B$6:$B$55,0)))</x:f>
        <x:v>0</x:v>
      </x:c>
      <x:c r="U11" s="28" t="n">
        <x:f>IF(B11="","",INDEX(Obliczenia!$U$6:$U$55,MATCH(B11,Obliczenia!$B$6:$B$55,0)))</x:f>
        <x:v>0</x:v>
      </x:c>
      <x:c r="V11" s="28" t="n">
        <x:f>IF(B11="","",INDEX(Obliczenia!$V$6:$V$55,MATCH(B11,Obliczenia!$B$6:$B$55,0)))</x:f>
        <x:v>0</x:v>
      </x:c>
      <x:c r="W11" s="28" t="n">
        <x:f>IF(B11="","",INDEX(Obliczenia!$W$6:$W$55,MATCH(B11,Obliczenia!$B$6:$B$55,0)))</x:f>
        <x:v>0</x:v>
      </x:c>
      <x:c r="X11" s="17" t="n">
        <x:f>IF(B11="","",INDEX(Obliczenia!$X$6:$X$55,MATCH(B11,Obliczenia!$B$6:$B$55,0)))</x:f>
        <x:v>15</x:v>
      </x:c>
      <x:c r="Y11" s="29" t="n">
        <x:f>IF(B11="","",INDEX(Obliczenia!$Y$6:$Y$55,MATCH(B11,Obliczenia!$B$6:$B$55,0)))</x:f>
        <x:v>13</x:v>
      </x:c>
      <x:c r="Z11" s="30" t="n">
        <x:f>IF(B11="","",INDEX(Obliczenia!$Z$6:$Z$55,MATCH(B11,Obliczenia!$B$6:$B$55,0)))</x:f>
        <x:v>2</x:v>
      </x:c>
    </x:row>
    <x:row r="12">
      <x:c r="A12" s="33" t="n">
        <x:f>IF(B12="","",1+COUNTIF($Y$6:$Y$55,"&gt;"&amp;Y12))</x:f>
        <x:v>7</x:v>
      </x:c>
      <x:c r="B12" s="17" t="str">
        <x:f>IFERROR(INDEX(Obliczenia!$B$6:$B$55,MATCH(LARGE(Obliczenia!$AA$6:$AA$55,7),Obliczenia!$AA$6:$AA$55,0)),"")</x:f>
        <x:v>Paweł Kostrzewski</x:v>
      </x:c>
      <x:c r="C12" s="17" t="n">
        <x:f>IF(B12="","",INDEX(Obliczenia!$C$6:$C$55,MATCH(B12,Obliczenia!$B$6:$B$55,0)))</x:f>
        <x:v>5</x:v>
      </x:c>
      <x:c r="D12" s="28" t="n">
        <x:f>IF(B12="","",INDEX(Obliczenia!$D$6:$D$55,MATCH(B12,Obliczenia!$B$6:$B$55,0)))</x:f>
        <x:v>0</x:v>
      </x:c>
      <x:c r="E12" s="28" t="n">
        <x:f>IF(B12="","",INDEX(Obliczenia!$E$6:$E$55,MATCH(B12,Obliczenia!$B$6:$B$55,0)))</x:f>
        <x:v>2</x:v>
      </x:c>
      <x:c r="F12" s="28" t="n">
        <x:f>IF(B12="","",INDEX(Obliczenia!$F$6:$F$55,MATCH(B12,Obliczenia!$B$6:$B$55,0)))</x:f>
        <x:v>0</x:v>
      </x:c>
      <x:c r="G12" s="28" t="n">
        <x:f>IF(B12="","",INDEX(Obliczenia!$G$6:$G$55,MATCH(B12,Obliczenia!$B$6:$B$55,0)))</x:f>
        <x:v>0</x:v>
      </x:c>
      <x:c r="H12" s="28" t="n">
        <x:f>IF(B12="","",INDEX(Obliczenia!$H$6:$H$55,MATCH(B12,Obliczenia!$B$6:$B$55,0)))</x:f>
        <x:v>2</x:v>
      </x:c>
      <x:c r="I12" s="28" t="n">
        <x:f>IF(B12="","",INDEX(Obliczenia!$I$6:$I$55,MATCH(B12,Obliczenia!$B$6:$B$55,0)))</x:f>
        <x:v>0</x:v>
      </x:c>
      <x:c r="J12" s="28" t="n">
        <x:f>IF(B12="","",INDEX(Obliczenia!$J$6:$J$55,MATCH(B12,Obliczenia!$B$6:$B$55,0)))</x:f>
        <x:v>0</x:v>
      </x:c>
      <x:c r="K12" s="28" t="n">
        <x:f>IF(B12="","",INDEX(Obliczenia!$K$6:$K$55,MATCH(B12,Obliczenia!$B$6:$B$55,0)))</x:f>
        <x:v>3</x:v>
      </x:c>
      <x:c r="L12" s="28" t="n">
        <x:f>IF(B12="","",INDEX(Obliczenia!$L$6:$L$55,MATCH(B12,Obliczenia!$B$6:$B$55,0)))</x:f>
        <x:v>3</x:v>
      </x:c>
      <x:c r="M12" s="28" t="n">
        <x:f>IF(B12="","",INDEX(Obliczenia!$M$6:$M$55,MATCH(B12,Obliczenia!$B$6:$B$55,0)))</x:f>
        <x:v>4</x:v>
      </x:c>
      <x:c r="N12" s="28" t="n">
        <x:f>IF(B12="","",INDEX(Obliczenia!$N$6:$N$55,MATCH(B12,Obliczenia!$B$6:$B$55,0)))</x:f>
        <x:v>0</x:v>
      </x:c>
      <x:c r="O12" s="28" t="n">
        <x:f>IF(B12="","",INDEX(Obliczenia!$O$6:$O$55,MATCH(B12,Obliczenia!$B$6:$B$55,0)))</x:f>
        <x:v>0</x:v>
      </x:c>
      <x:c r="P12" s="28" t="n">
        <x:f>IF(B12="","",INDEX(Obliczenia!$P$6:$P$55,MATCH(B12,Obliczenia!$B$6:$B$55,0)))</x:f>
        <x:v>0</x:v>
      </x:c>
      <x:c r="Q12" s="28" t="n">
        <x:f>IF(B12="","",INDEX(Obliczenia!$Q$6:$Q$55,MATCH(B12,Obliczenia!$B$6:$B$55,0)))</x:f>
        <x:v>0</x:v>
      </x:c>
      <x:c r="R12" s="28" t="n">
        <x:f>IF(B12="","",INDEX(Obliczenia!$R$6:$R$55,MATCH(B12,Obliczenia!$B$6:$B$55,0)))</x:f>
        <x:v>0</x:v>
      </x:c>
      <x:c r="S12" s="28" t="n">
        <x:f>IF(B12="","",INDEX(Obliczenia!$S$6:$S$55,MATCH(B12,Obliczenia!$B$6:$B$55,0)))</x:f>
        <x:v>0</x:v>
      </x:c>
      <x:c r="T12" s="28" t="n">
        <x:f>IF(B12="","",INDEX(Obliczenia!$T$6:$T$55,MATCH(B12,Obliczenia!$B$6:$B$55,0)))</x:f>
        <x:v>0</x:v>
      </x:c>
      <x:c r="U12" s="28" t="n">
        <x:f>IF(B12="","",INDEX(Obliczenia!$U$6:$U$55,MATCH(B12,Obliczenia!$B$6:$B$55,0)))</x:f>
        <x:v>0</x:v>
      </x:c>
      <x:c r="V12" s="28" t="n">
        <x:f>IF(B12="","",INDEX(Obliczenia!$V$6:$V$55,MATCH(B12,Obliczenia!$B$6:$B$55,0)))</x:f>
        <x:v>0</x:v>
      </x:c>
      <x:c r="W12" s="28" t="n">
        <x:f>IF(B12="","",INDEX(Obliczenia!$W$6:$W$55,MATCH(B12,Obliczenia!$B$6:$B$55,0)))</x:f>
        <x:v>0</x:v>
      </x:c>
      <x:c r="X12" s="17" t="n">
        <x:f>IF(B12="","",INDEX(Obliczenia!$X$6:$X$55,MATCH(B12,Obliczenia!$B$6:$B$55,0)))</x:f>
        <x:v>14</x:v>
      </x:c>
      <x:c r="Y12" s="29" t="n">
        <x:f>IF(B12="","",INDEX(Obliczenia!$Y$6:$Y$55,MATCH(B12,Obliczenia!$B$6:$B$55,0)))</x:f>
        <x:v>12</x:v>
      </x:c>
      <x:c r="Z12" s="30" t="n">
        <x:f>IF(B12="","",INDEX(Obliczenia!$Z$6:$Z$55,MATCH(B12,Obliczenia!$B$6:$B$55,0)))</x:f>
        <x:v>2</x:v>
      </x:c>
    </x:row>
    <x:row r="13">
      <x:c r="A13" s="33" t="n">
        <x:f>IF(B13="","",1+COUNTIF($Y$6:$Y$55,"&gt;"&amp;Y13))</x:f>
        <x:v>8</x:v>
      </x:c>
      <x:c r="B13" s="17" t="str">
        <x:f>IFERROR(INDEX(Obliczenia!$B$6:$B$55,MATCH(LARGE(Obliczenia!$AA$6:$AA$55,8),Obliczenia!$AA$6:$AA$55,0)),"")</x:f>
        <x:v>Bartosz Postój</x:v>
      </x:c>
      <x:c r="C13" s="17" t="n">
        <x:f>IF(B13="","",INDEX(Obliczenia!$C$6:$C$55,MATCH(B13,Obliczenia!$B$6:$B$55,0)))</x:f>
        <x:v>5</x:v>
      </x:c>
      <x:c r="D13" s="28" t="n">
        <x:f>IF(B13="","",INDEX(Obliczenia!$D$6:$D$55,MATCH(B13,Obliczenia!$B$6:$B$55,0)))</x:f>
        <x:v>2</x:v>
      </x:c>
      <x:c r="E13" s="28" t="n">
        <x:f>IF(B13="","",INDEX(Obliczenia!$E$6:$E$55,MATCH(B13,Obliczenia!$B$6:$B$55,0)))</x:f>
        <x:v>0</x:v>
      </x:c>
      <x:c r="F13" s="28" t="n">
        <x:f>IF(B13="","",INDEX(Obliczenia!$F$6:$F$55,MATCH(B13,Obliczenia!$B$6:$B$55,0)))</x:f>
        <x:v>2</x:v>
      </x:c>
      <x:c r="G13" s="28" t="n">
        <x:f>IF(B13="","",INDEX(Obliczenia!$G$6:$G$55,MATCH(B13,Obliczenia!$B$6:$B$55,0)))</x:f>
        <x:v>0</x:v>
      </x:c>
      <x:c r="H13" s="28" t="n">
        <x:f>IF(B13="","",INDEX(Obliczenia!$H$6:$H$55,MATCH(B13,Obliczenia!$B$6:$B$55,0)))</x:f>
        <x:v>0</x:v>
      </x:c>
      <x:c r="I13" s="28" t="n">
        <x:f>IF(B13="","",INDEX(Obliczenia!$I$6:$I$55,MATCH(B13,Obliczenia!$B$6:$B$55,0)))</x:f>
        <x:v>4</x:v>
      </x:c>
      <x:c r="J13" s="28" t="n">
        <x:f>IF(B13="","",INDEX(Obliczenia!$J$6:$J$55,MATCH(B13,Obliczenia!$B$6:$B$55,0)))</x:f>
        <x:v>2</x:v>
      </x:c>
      <x:c r="K13" s="28" t="n">
        <x:f>IF(B13="","",INDEX(Obliczenia!$K$6:$K$55,MATCH(B13,Obliczenia!$B$6:$B$55,0)))</x:f>
        <x:v>0</x:v>
      </x:c>
      <x:c r="L13" s="28" t="n">
        <x:f>IF(B13="","",INDEX(Obliczenia!$L$6:$L$55,MATCH(B13,Obliczenia!$B$6:$B$55,0)))</x:f>
        <x:v>2</x:v>
      </x:c>
      <x:c r="M13" s="28" t="n">
        <x:f>IF(B13="","",INDEX(Obliczenia!$M$6:$M$55,MATCH(B13,Obliczenia!$B$6:$B$55,0)))</x:f>
        <x:v>0</x:v>
      </x:c>
      <x:c r="N13" s="28" t="n">
        <x:f>IF(B13="","",INDEX(Obliczenia!$N$6:$N$55,MATCH(B13,Obliczenia!$B$6:$B$55,0)))</x:f>
        <x:v>0</x:v>
      </x:c>
      <x:c r="O13" s="28" t="n">
        <x:f>IF(B13="","",INDEX(Obliczenia!$O$6:$O$55,MATCH(B13,Obliczenia!$B$6:$B$55,0)))</x:f>
        <x:v>0</x:v>
      </x:c>
      <x:c r="P13" s="28" t="n">
        <x:f>IF(B13="","",INDEX(Obliczenia!$P$6:$P$55,MATCH(B13,Obliczenia!$B$6:$B$55,0)))</x:f>
        <x:v>0</x:v>
      </x:c>
      <x:c r="Q13" s="28" t="n">
        <x:f>IF(B13="","",INDEX(Obliczenia!$Q$6:$Q$55,MATCH(B13,Obliczenia!$B$6:$B$55,0)))</x:f>
        <x:v>0</x:v>
      </x:c>
      <x:c r="R13" s="28" t="n">
        <x:f>IF(B13="","",INDEX(Obliczenia!$R$6:$R$55,MATCH(B13,Obliczenia!$B$6:$B$55,0)))</x:f>
        <x:v>0</x:v>
      </x:c>
      <x:c r="S13" s="28" t="n">
        <x:f>IF(B13="","",INDEX(Obliczenia!$S$6:$S$55,MATCH(B13,Obliczenia!$B$6:$B$55,0)))</x:f>
        <x:v>0</x:v>
      </x:c>
      <x:c r="T13" s="28" t="n">
        <x:f>IF(B13="","",INDEX(Obliczenia!$T$6:$T$55,MATCH(B13,Obliczenia!$B$6:$B$55,0)))</x:f>
        <x:v>0</x:v>
      </x:c>
      <x:c r="U13" s="28" t="n">
        <x:f>IF(B13="","",INDEX(Obliczenia!$U$6:$U$55,MATCH(B13,Obliczenia!$B$6:$B$55,0)))</x:f>
        <x:v>0</x:v>
      </x:c>
      <x:c r="V13" s="28" t="n">
        <x:f>IF(B13="","",INDEX(Obliczenia!$V$6:$V$55,MATCH(B13,Obliczenia!$B$6:$B$55,0)))</x:f>
        <x:v>0</x:v>
      </x:c>
      <x:c r="W13" s="28" t="n">
        <x:f>IF(B13="","",INDEX(Obliczenia!$W$6:$W$55,MATCH(B13,Obliczenia!$B$6:$B$55,0)))</x:f>
        <x:v>0</x:v>
      </x:c>
      <x:c r="X13" s="17" t="n">
        <x:f>IF(B13="","",INDEX(Obliczenia!$X$6:$X$55,MATCH(B13,Obliczenia!$B$6:$B$55,0)))</x:f>
        <x:v>12</x:v>
      </x:c>
      <x:c r="Y13" s="29" t="n">
        <x:f>IF(B13="","",INDEX(Obliczenia!$Y$6:$Y$55,MATCH(B13,Obliczenia!$B$6:$B$55,0)))</x:f>
        <x:v>10</x:v>
      </x:c>
      <x:c r="Z13" s="30" t="n">
        <x:f>IF(B13="","",INDEX(Obliczenia!$Z$6:$Z$55,MATCH(B13,Obliczenia!$B$6:$B$55,0)))</x:f>
        <x:v>2</x:v>
      </x:c>
    </x:row>
    <x:row r="14">
      <x:c r="A14" s="33" t="n">
        <x:f>IF(B14="","",1+COUNTIF($Y$6:$Y$55,"&gt;"&amp;Y14))</x:f>
        <x:v>9</x:v>
      </x:c>
      <x:c r="B14" s="17" t="str">
        <x:f>IFERROR(INDEX(Obliczenia!$B$6:$B$55,MATCH(LARGE(Obliczenia!$AA$6:$AA$55,9),Obliczenia!$AA$6:$AA$55,0)),"")</x:f>
        <x:v>Krzysztof Kacnerski</x:v>
      </x:c>
      <x:c r="C14" s="17" t="n">
        <x:f>IF(B14="","",INDEX(Obliczenia!$C$6:$C$55,MATCH(B14,Obliczenia!$B$6:$B$55,0)))</x:f>
        <x:v>4</x:v>
      </x:c>
      <x:c r="D14" s="28" t="n">
        <x:f>IF(B14="","",INDEX(Obliczenia!$D$6:$D$55,MATCH(B14,Obliczenia!$B$6:$B$55,0)))</x:f>
        <x:v>1</x:v>
      </x:c>
      <x:c r="E14" s="28" t="n">
        <x:f>IF(B14="","",INDEX(Obliczenia!$E$6:$E$55,MATCH(B14,Obliczenia!$B$6:$B$55,0)))</x:f>
        <x:v>0</x:v>
      </x:c>
      <x:c r="F14" s="28" t="n">
        <x:f>IF(B14="","",INDEX(Obliczenia!$F$6:$F$55,MATCH(B14,Obliczenia!$B$6:$B$55,0)))</x:f>
        <x:v>0</x:v>
      </x:c>
      <x:c r="G14" s="28" t="n">
        <x:f>IF(B14="","",INDEX(Obliczenia!$G$6:$G$55,MATCH(B14,Obliczenia!$B$6:$B$55,0)))</x:f>
        <x:v>0</x:v>
      </x:c>
      <x:c r="H14" s="28" t="n">
        <x:f>IF(B14="","",INDEX(Obliczenia!$H$6:$H$55,MATCH(B14,Obliczenia!$B$6:$B$55,0)))</x:f>
        <x:v>1</x:v>
      </x:c>
      <x:c r="I14" s="28" t="n">
        <x:f>IF(B14="","",INDEX(Obliczenia!$I$6:$I$55,MATCH(B14,Obliczenia!$B$6:$B$55,0)))</x:f>
        <x:v>0</x:v>
      </x:c>
      <x:c r="J14" s="28" t="n">
        <x:f>IF(B14="","",INDEX(Obliczenia!$J$6:$J$55,MATCH(B14,Obliczenia!$B$6:$B$55,0)))</x:f>
        <x:v>0</x:v>
      </x:c>
      <x:c r="K14" s="28" t="n">
        <x:f>IF(B14="","",INDEX(Obliczenia!$K$6:$K$55,MATCH(B14,Obliczenia!$B$6:$B$55,0)))</x:f>
        <x:v>1</x:v>
      </x:c>
      <x:c r="L14" s="28" t="n">
        <x:f>IF(B14="","",INDEX(Obliczenia!$L$6:$L$55,MATCH(B14,Obliczenia!$B$6:$B$55,0)))</x:f>
        <x:v>0</x:v>
      </x:c>
      <x:c r="M14" s="28" t="n">
        <x:f>IF(B14="","",INDEX(Obliczenia!$M$6:$M$55,MATCH(B14,Obliczenia!$B$6:$B$55,0)))</x:f>
        <x:v>2</x:v>
      </x:c>
      <x:c r="N14" s="28" t="n">
        <x:f>IF(B14="","",INDEX(Obliczenia!$N$6:$N$55,MATCH(B14,Obliczenia!$B$6:$B$55,0)))</x:f>
        <x:v>0</x:v>
      </x:c>
      <x:c r="O14" s="28" t="n">
        <x:f>IF(B14="","",INDEX(Obliczenia!$O$6:$O$55,MATCH(B14,Obliczenia!$B$6:$B$55,0)))</x:f>
        <x:v>0</x:v>
      </x:c>
      <x:c r="P14" s="28" t="n">
        <x:f>IF(B14="","",INDEX(Obliczenia!$P$6:$P$55,MATCH(B14,Obliczenia!$B$6:$B$55,0)))</x:f>
        <x:v>0</x:v>
      </x:c>
      <x:c r="Q14" s="28" t="n">
        <x:f>IF(B14="","",INDEX(Obliczenia!$Q$6:$Q$55,MATCH(B14,Obliczenia!$B$6:$B$55,0)))</x:f>
        <x:v>0</x:v>
      </x:c>
      <x:c r="R14" s="28" t="n">
        <x:f>IF(B14="","",INDEX(Obliczenia!$R$6:$R$55,MATCH(B14,Obliczenia!$B$6:$B$55,0)))</x:f>
        <x:v>0</x:v>
      </x:c>
      <x:c r="S14" s="28" t="n">
        <x:f>IF(B14="","",INDEX(Obliczenia!$S$6:$S$55,MATCH(B14,Obliczenia!$B$6:$B$55,0)))</x:f>
        <x:v>0</x:v>
      </x:c>
      <x:c r="T14" s="28" t="n">
        <x:f>IF(B14="","",INDEX(Obliczenia!$T$6:$T$55,MATCH(B14,Obliczenia!$B$6:$B$55,0)))</x:f>
        <x:v>0</x:v>
      </x:c>
      <x:c r="U14" s="28" t="n">
        <x:f>IF(B14="","",INDEX(Obliczenia!$U$6:$U$55,MATCH(B14,Obliczenia!$B$6:$B$55,0)))</x:f>
        <x:v>0</x:v>
      </x:c>
      <x:c r="V14" s="28" t="n">
        <x:f>IF(B14="","",INDEX(Obliczenia!$V$6:$V$55,MATCH(B14,Obliczenia!$B$6:$B$55,0)))</x:f>
        <x:v>0</x:v>
      </x:c>
      <x:c r="W14" s="28" t="n">
        <x:f>IF(B14="","",INDEX(Obliczenia!$W$6:$W$55,MATCH(B14,Obliczenia!$B$6:$B$55,0)))</x:f>
        <x:v>0</x:v>
      </x:c>
      <x:c r="X14" s="17" t="n">
        <x:f>IF(B14="","",INDEX(Obliczenia!$X$6:$X$55,MATCH(B14,Obliczenia!$B$6:$B$55,0)))</x:f>
        <x:v>5</x:v>
      </x:c>
      <x:c r="Y14" s="29" t="n">
        <x:f>IF(B14="","",INDEX(Obliczenia!$Y$6:$Y$55,MATCH(B14,Obliczenia!$B$6:$B$55,0)))</x:f>
        <x:v>5</x:v>
      </x:c>
      <x:c r="Z14" s="30" t="n">
        <x:f>IF(B14="","",INDEX(Obliczenia!$Z$6:$Z$55,MATCH(B14,Obliczenia!$B$6:$B$55,0)))</x:f>
        <x:v>0</x:v>
      </x:c>
    </x:row>
    <x:row r="15">
      <x:c r="A15" s="33" t="n">
        <x:f>IF(B15="","",1+COUNTIF($Y$6:$Y$55,"&gt;"&amp;Y15))</x:f>
        <x:v>10</x:v>
      </x:c>
      <x:c r="B15" s="17" t="str">
        <x:f>IFERROR(INDEX(Obliczenia!$B$6:$B$55,MATCH(LARGE(Obliczenia!$AA$6:$AA$55,10),Obliczenia!$AA$6:$AA$55,0)),"")</x:f>
        <x:v>Marcin Schabowski</x:v>
      </x:c>
      <x:c r="C15" s="17" t="n">
        <x:f>IF(B15="","",INDEX(Obliczenia!$C$6:$C$55,MATCH(B15,Obliczenia!$B$6:$B$55,0)))</x:f>
        <x:v>1</x:v>
      </x:c>
      <x:c r="D15" s="28" t="n">
        <x:f>IF(B15="","",INDEX(Obliczenia!$D$6:$D$55,MATCH(B15,Obliczenia!$B$6:$B$55,0)))</x:f>
        <x:v>0</x:v>
      </x:c>
      <x:c r="E15" s="28" t="n">
        <x:f>IF(B15="","",INDEX(Obliczenia!$E$6:$E$55,MATCH(B15,Obliczenia!$B$6:$B$55,0)))</x:f>
        <x:v>4</x:v>
      </x:c>
      <x:c r="F15" s="28" t="n">
        <x:f>IF(B15="","",INDEX(Obliczenia!$F$6:$F$55,MATCH(B15,Obliczenia!$B$6:$B$55,0)))</x:f>
        <x:v>0</x:v>
      </x:c>
      <x:c r="G15" s="28" t="n">
        <x:f>IF(B15="","",INDEX(Obliczenia!$G$6:$G$55,MATCH(B15,Obliczenia!$B$6:$B$55,0)))</x:f>
        <x:v>0</x:v>
      </x:c>
      <x:c r="H15" s="28" t="n">
        <x:f>IF(B15="","",INDEX(Obliczenia!$H$6:$H$55,MATCH(B15,Obliczenia!$B$6:$B$55,0)))</x:f>
        <x:v>0</x:v>
      </x:c>
      <x:c r="I15" s="28" t="n">
        <x:f>IF(B15="","",INDEX(Obliczenia!$I$6:$I$55,MATCH(B15,Obliczenia!$B$6:$B$55,0)))</x:f>
        <x:v>0</x:v>
      </x:c>
      <x:c r="J15" s="28" t="n">
        <x:f>IF(B15="","",INDEX(Obliczenia!$J$6:$J$55,MATCH(B15,Obliczenia!$B$6:$B$55,0)))</x:f>
        <x:v>0</x:v>
      </x:c>
      <x:c r="K15" s="28" t="n">
        <x:f>IF(B15="","",INDEX(Obliczenia!$K$6:$K$55,MATCH(B15,Obliczenia!$B$6:$B$55,0)))</x:f>
        <x:v>0</x:v>
      </x:c>
      <x:c r="L15" s="28" t="n">
        <x:f>IF(B15="","",INDEX(Obliczenia!$L$6:$L$55,MATCH(B15,Obliczenia!$B$6:$B$55,0)))</x:f>
        <x:v>0</x:v>
      </x:c>
      <x:c r="M15" s="28" t="n">
        <x:f>IF(B15="","",INDEX(Obliczenia!$M$6:$M$55,MATCH(B15,Obliczenia!$B$6:$B$55,0)))</x:f>
        <x:v>0</x:v>
      </x:c>
      <x:c r="N15" s="28" t="n">
        <x:f>IF(B15="","",INDEX(Obliczenia!$N$6:$N$55,MATCH(B15,Obliczenia!$B$6:$B$55,0)))</x:f>
        <x:v>0</x:v>
      </x:c>
      <x:c r="O15" s="28" t="n">
        <x:f>IF(B15="","",INDEX(Obliczenia!$O$6:$O$55,MATCH(B15,Obliczenia!$B$6:$B$55,0)))</x:f>
        <x:v>0</x:v>
      </x:c>
      <x:c r="P15" s="28" t="n">
        <x:f>IF(B15="","",INDEX(Obliczenia!$P$6:$P$55,MATCH(B15,Obliczenia!$B$6:$B$55,0)))</x:f>
        <x:v>0</x:v>
      </x:c>
      <x:c r="Q15" s="28" t="n">
        <x:f>IF(B15="","",INDEX(Obliczenia!$Q$6:$Q$55,MATCH(B15,Obliczenia!$B$6:$B$55,0)))</x:f>
        <x:v>0</x:v>
      </x:c>
      <x:c r="R15" s="28" t="n">
        <x:f>IF(B15="","",INDEX(Obliczenia!$R$6:$R$55,MATCH(B15,Obliczenia!$B$6:$B$55,0)))</x:f>
        <x:v>0</x:v>
      </x:c>
      <x:c r="S15" s="28" t="n">
        <x:f>IF(B15="","",INDEX(Obliczenia!$S$6:$S$55,MATCH(B15,Obliczenia!$B$6:$B$55,0)))</x:f>
        <x:v>0</x:v>
      </x:c>
      <x:c r="T15" s="28" t="n">
        <x:f>IF(B15="","",INDEX(Obliczenia!$T$6:$T$55,MATCH(B15,Obliczenia!$B$6:$B$55,0)))</x:f>
        <x:v>0</x:v>
      </x:c>
      <x:c r="U15" s="28" t="n">
        <x:f>IF(B15="","",INDEX(Obliczenia!$U$6:$U$55,MATCH(B15,Obliczenia!$B$6:$B$55,0)))</x:f>
        <x:v>0</x:v>
      </x:c>
      <x:c r="V15" s="28" t="n">
        <x:f>IF(B15="","",INDEX(Obliczenia!$V$6:$V$55,MATCH(B15,Obliczenia!$B$6:$B$55,0)))</x:f>
        <x:v>0</x:v>
      </x:c>
      <x:c r="W15" s="28" t="n">
        <x:f>IF(B15="","",INDEX(Obliczenia!$W$6:$W$55,MATCH(B15,Obliczenia!$B$6:$B$55,0)))</x:f>
        <x:v>0</x:v>
      </x:c>
      <x:c r="X15" s="17" t="n">
        <x:f>IF(B15="","",INDEX(Obliczenia!$X$6:$X$55,MATCH(B15,Obliczenia!$B$6:$B$55,0)))</x:f>
        <x:v>4</x:v>
      </x:c>
      <x:c r="Y15" s="29" t="n">
        <x:f>IF(B15="","",INDEX(Obliczenia!$Y$6:$Y$55,MATCH(B15,Obliczenia!$B$6:$B$55,0)))</x:f>
        <x:v>4</x:v>
      </x:c>
      <x:c r="Z15" s="30" t="n">
        <x:f>IF(B15="","",INDEX(Obliczenia!$Z$6:$Z$55,MATCH(B15,Obliczenia!$B$6:$B$55,0)))</x:f>
        <x:v>0</x:v>
      </x:c>
    </x:row>
    <x:row r="16">
      <x:c r="A16" s="33" t="n">
        <x:f>IF(B16="","",1+COUNTIF($Y$6:$Y$55,"&gt;"&amp;Y16))</x:f>
        <x:v>10</x:v>
      </x:c>
      <x:c r="B16" s="17" t="str">
        <x:f>IFERROR(INDEX(Obliczenia!$B$6:$B$55,MATCH(LARGE(Obliczenia!$AA$6:$AA$55,11),Obliczenia!$AA$6:$AA$55,0)),"")</x:f>
        <x:v>Mariusz Pachut</x:v>
      </x:c>
      <x:c r="C16" s="17" t="n">
        <x:f>IF(B16="","",INDEX(Obliczenia!$C$6:$C$55,MATCH(B16,Obliczenia!$B$6:$B$55,0)))</x:f>
        <x:v>4</x:v>
      </x:c>
      <x:c r="D16" s="28" t="n">
        <x:f>IF(B16="","",INDEX(Obliczenia!$D$6:$D$55,MATCH(B16,Obliczenia!$B$6:$B$55,0)))</x:f>
        <x:v>0</x:v>
      </x:c>
      <x:c r="E16" s="28" t="n">
        <x:f>IF(B16="","",INDEX(Obliczenia!$E$6:$E$55,MATCH(B16,Obliczenia!$B$6:$B$55,0)))</x:f>
        <x:v>1</x:v>
      </x:c>
      <x:c r="F16" s="28" t="n">
        <x:f>IF(B16="","",INDEX(Obliczenia!$F$6:$F$55,MATCH(B16,Obliczenia!$B$6:$B$55,0)))</x:f>
        <x:v>0</x:v>
      </x:c>
      <x:c r="G16" s="28" t="n">
        <x:f>IF(B16="","",INDEX(Obliczenia!$G$6:$G$55,MATCH(B16,Obliczenia!$B$6:$B$55,0)))</x:f>
        <x:v>1</x:v>
      </x:c>
      <x:c r="H16" s="28" t="n">
        <x:f>IF(B16="","",INDEX(Obliczenia!$H$6:$H$55,MATCH(B16,Obliczenia!$B$6:$B$55,0)))</x:f>
        <x:v>0</x:v>
      </x:c>
      <x:c r="I16" s="28" t="n">
        <x:f>IF(B16="","",INDEX(Obliczenia!$I$6:$I$55,MATCH(B16,Obliczenia!$B$6:$B$55,0)))</x:f>
        <x:v>0</x:v>
      </x:c>
      <x:c r="J16" s="28" t="n">
        <x:f>IF(B16="","",INDEX(Obliczenia!$J$6:$J$55,MATCH(B16,Obliczenia!$B$6:$B$55,0)))</x:f>
        <x:v>0</x:v>
      </x:c>
      <x:c r="K16" s="28" t="n">
        <x:f>IF(B16="","",INDEX(Obliczenia!$K$6:$K$55,MATCH(B16,Obliczenia!$B$6:$B$55,0)))</x:f>
        <x:v>0</x:v>
      </x:c>
      <x:c r="L16" s="28" t="n">
        <x:f>IF(B16="","",INDEX(Obliczenia!$L$6:$L$55,MATCH(B16,Obliczenia!$B$6:$B$55,0)))</x:f>
        <x:v>1</x:v>
      </x:c>
      <x:c r="M16" s="28" t="n">
        <x:f>IF(B16="","",INDEX(Obliczenia!$M$6:$M$55,MATCH(B16,Obliczenia!$B$6:$B$55,0)))</x:f>
        <x:v>1</x:v>
      </x:c>
      <x:c r="N16" s="28" t="n">
        <x:f>IF(B16="","",INDEX(Obliczenia!$N$6:$N$55,MATCH(B16,Obliczenia!$B$6:$B$55,0)))</x:f>
        <x:v>0</x:v>
      </x:c>
      <x:c r="O16" s="28" t="n">
        <x:f>IF(B16="","",INDEX(Obliczenia!$O$6:$O$55,MATCH(B16,Obliczenia!$B$6:$B$55,0)))</x:f>
        <x:v>0</x:v>
      </x:c>
      <x:c r="P16" s="28" t="n">
        <x:f>IF(B16="","",INDEX(Obliczenia!$P$6:$P$55,MATCH(B16,Obliczenia!$B$6:$B$55,0)))</x:f>
        <x:v>0</x:v>
      </x:c>
      <x:c r="Q16" s="28" t="n">
        <x:f>IF(B16="","",INDEX(Obliczenia!$Q$6:$Q$55,MATCH(B16,Obliczenia!$B$6:$B$55,0)))</x:f>
        <x:v>0</x:v>
      </x:c>
      <x:c r="R16" s="28" t="n">
        <x:f>IF(B16="","",INDEX(Obliczenia!$R$6:$R$55,MATCH(B16,Obliczenia!$B$6:$B$55,0)))</x:f>
        <x:v>0</x:v>
      </x:c>
      <x:c r="S16" s="28" t="n">
        <x:f>IF(B16="","",INDEX(Obliczenia!$S$6:$S$55,MATCH(B16,Obliczenia!$B$6:$B$55,0)))</x:f>
        <x:v>0</x:v>
      </x:c>
      <x:c r="T16" s="28" t="n">
        <x:f>IF(B16="","",INDEX(Obliczenia!$T$6:$T$55,MATCH(B16,Obliczenia!$B$6:$B$55,0)))</x:f>
        <x:v>0</x:v>
      </x:c>
      <x:c r="U16" s="28" t="n">
        <x:f>IF(B16="","",INDEX(Obliczenia!$U$6:$U$55,MATCH(B16,Obliczenia!$B$6:$B$55,0)))</x:f>
        <x:v>0</x:v>
      </x:c>
      <x:c r="V16" s="28" t="n">
        <x:f>IF(B16="","",INDEX(Obliczenia!$V$6:$V$55,MATCH(B16,Obliczenia!$B$6:$B$55,0)))</x:f>
        <x:v>0</x:v>
      </x:c>
      <x:c r="W16" s="28" t="n">
        <x:f>IF(B16="","",INDEX(Obliczenia!$W$6:$W$55,MATCH(B16,Obliczenia!$B$6:$B$55,0)))</x:f>
        <x:v>0</x:v>
      </x:c>
      <x:c r="X16" s="17" t="n">
        <x:f>IF(B16="","",INDEX(Obliczenia!$X$6:$X$55,MATCH(B16,Obliczenia!$B$6:$B$55,0)))</x:f>
        <x:v>4</x:v>
      </x:c>
      <x:c r="Y16" s="29" t="n">
        <x:f>IF(B16="","",INDEX(Obliczenia!$Y$6:$Y$55,MATCH(B16,Obliczenia!$B$6:$B$55,0)))</x:f>
        <x:v>4</x:v>
      </x:c>
      <x:c r="Z16" s="30" t="n">
        <x:f>IF(B16="","",INDEX(Obliczenia!$Z$6:$Z$55,MATCH(B16,Obliczenia!$B$6:$B$55,0)))</x:f>
        <x:v>0</x:v>
      </x:c>
    </x:row>
    <x:row r="17">
      <x:c r="A17" s="33" t="n">
        <x:f>IF(B17="","",1+COUNTIF($Y$6:$Y$55,"&gt;"&amp;Y17))</x:f>
        <x:v>12</x:v>
      </x:c>
      <x:c r="B17" s="17" t="str">
        <x:f>IFERROR(INDEX(Obliczenia!$B$6:$B$55,MATCH(LARGE(Obliczenia!$AA$6:$AA$55,12),Obliczenia!$AA$6:$AA$55,0)),"")</x:f>
        <x:v>Adam Wądołowski</x:v>
      </x:c>
      <x:c r="C17" s="17" t="n">
        <x:f>IF(B17="","",INDEX(Obliczenia!$C$6:$C$55,MATCH(B17,Obliczenia!$B$6:$B$55,0)))</x:f>
        <x:v>2</x:v>
      </x:c>
      <x:c r="D17" s="28" t="n">
        <x:f>IF(B17="","",INDEX(Obliczenia!$D$6:$D$55,MATCH(B17,Obliczenia!$B$6:$B$55,0)))</x:f>
        <x:v>0</x:v>
      </x:c>
      <x:c r="E17" s="28" t="n">
        <x:f>IF(B17="","",INDEX(Obliczenia!$E$6:$E$55,MATCH(B17,Obliczenia!$B$6:$B$55,0)))</x:f>
        <x:v>0</x:v>
      </x:c>
      <x:c r="F17" s="28" t="n">
        <x:f>IF(B17="","",INDEX(Obliczenia!$F$6:$F$55,MATCH(B17,Obliczenia!$B$6:$B$55,0)))</x:f>
        <x:v>0</x:v>
      </x:c>
      <x:c r="G17" s="28" t="n">
        <x:f>IF(B17="","",INDEX(Obliczenia!$G$6:$G$55,MATCH(B17,Obliczenia!$B$6:$B$55,0)))</x:f>
        <x:v>0</x:v>
      </x:c>
      <x:c r="H17" s="28" t="n">
        <x:f>IF(B17="","",INDEX(Obliczenia!$H$6:$H$55,MATCH(B17,Obliczenia!$B$6:$B$55,0)))</x:f>
        <x:v>0</x:v>
      </x:c>
      <x:c r="I17" s="28" t="n">
        <x:f>IF(B17="","",INDEX(Obliczenia!$I$6:$I$55,MATCH(B17,Obliczenia!$B$6:$B$55,0)))</x:f>
        <x:v>1</x:v>
      </x:c>
      <x:c r="J17" s="28" t="n">
        <x:f>IF(B17="","",INDEX(Obliczenia!$J$6:$J$55,MATCH(B17,Obliczenia!$B$6:$B$55,0)))</x:f>
        <x:v>0</x:v>
      </x:c>
      <x:c r="K17" s="28" t="n">
        <x:f>IF(B17="","",INDEX(Obliczenia!$K$6:$K$55,MATCH(B17,Obliczenia!$B$6:$B$55,0)))</x:f>
        <x:v>2</x:v>
      </x:c>
      <x:c r="L17" s="28" t="n">
        <x:f>IF(B17="","",INDEX(Obliczenia!$L$6:$L$55,MATCH(B17,Obliczenia!$B$6:$B$55,0)))</x:f>
        <x:v>0</x:v>
      </x:c>
      <x:c r="M17" s="28" t="n">
        <x:f>IF(B17="","",INDEX(Obliczenia!$M$6:$M$55,MATCH(B17,Obliczenia!$B$6:$B$55,0)))</x:f>
        <x:v>0</x:v>
      </x:c>
      <x:c r="N17" s="28" t="n">
        <x:f>IF(B17="","",INDEX(Obliczenia!$N$6:$N$55,MATCH(B17,Obliczenia!$B$6:$B$55,0)))</x:f>
        <x:v>0</x:v>
      </x:c>
      <x:c r="O17" s="28" t="n">
        <x:f>IF(B17="","",INDEX(Obliczenia!$O$6:$O$55,MATCH(B17,Obliczenia!$B$6:$B$55,0)))</x:f>
        <x:v>0</x:v>
      </x:c>
      <x:c r="P17" s="28" t="n">
        <x:f>IF(B17="","",INDEX(Obliczenia!$P$6:$P$55,MATCH(B17,Obliczenia!$B$6:$B$55,0)))</x:f>
        <x:v>0</x:v>
      </x:c>
      <x:c r="Q17" s="28" t="n">
        <x:f>IF(B17="","",INDEX(Obliczenia!$Q$6:$Q$55,MATCH(B17,Obliczenia!$B$6:$B$55,0)))</x:f>
        <x:v>0</x:v>
      </x:c>
      <x:c r="R17" s="28" t="n">
        <x:f>IF(B17="","",INDEX(Obliczenia!$R$6:$R$55,MATCH(B17,Obliczenia!$B$6:$B$55,0)))</x:f>
        <x:v>0</x:v>
      </x:c>
      <x:c r="S17" s="28" t="n">
        <x:f>IF(B17="","",INDEX(Obliczenia!$S$6:$S$55,MATCH(B17,Obliczenia!$B$6:$B$55,0)))</x:f>
        <x:v>0</x:v>
      </x:c>
      <x:c r="T17" s="28" t="n">
        <x:f>IF(B17="","",INDEX(Obliczenia!$T$6:$T$55,MATCH(B17,Obliczenia!$B$6:$B$55,0)))</x:f>
        <x:v>0</x:v>
      </x:c>
      <x:c r="U17" s="28" t="n">
        <x:f>IF(B17="","",INDEX(Obliczenia!$U$6:$U$55,MATCH(B17,Obliczenia!$B$6:$B$55,0)))</x:f>
        <x:v>0</x:v>
      </x:c>
      <x:c r="V17" s="28" t="n">
        <x:f>IF(B17="","",INDEX(Obliczenia!$V$6:$V$55,MATCH(B17,Obliczenia!$B$6:$B$55,0)))</x:f>
        <x:v>0</x:v>
      </x:c>
      <x:c r="W17" s="28" t="n">
        <x:f>IF(B17="","",INDEX(Obliczenia!$W$6:$W$55,MATCH(B17,Obliczenia!$B$6:$B$55,0)))</x:f>
        <x:v>0</x:v>
      </x:c>
      <x:c r="X17" s="17" t="n">
        <x:f>IF(B17="","",INDEX(Obliczenia!$X$6:$X$55,MATCH(B17,Obliczenia!$B$6:$B$55,0)))</x:f>
        <x:v>3</x:v>
      </x:c>
      <x:c r="Y17" s="29" t="n">
        <x:f>IF(B17="","",INDEX(Obliczenia!$Y$6:$Y$55,MATCH(B17,Obliczenia!$B$6:$B$55,0)))</x:f>
        <x:v>3</x:v>
      </x:c>
      <x:c r="Z17" s="30" t="n">
        <x:f>IF(B17="","",INDEX(Obliczenia!$Z$6:$Z$55,MATCH(B17,Obliczenia!$B$6:$B$55,0)))</x:f>
        <x:v>0</x:v>
      </x:c>
    </x:row>
    <x:row r="18">
      <x:c r="A18" s="33" t="n">
        <x:f>IF(B18="","",1+COUNTIF($Y$6:$Y$55,"&gt;"&amp;Y18))</x:f>
        <x:v>12</x:v>
      </x:c>
      <x:c r="B18" s="17" t="str">
        <x:f>IFERROR(INDEX(Obliczenia!$B$6:$B$55,MATCH(LARGE(Obliczenia!$AA$6:$AA$55,13),Obliczenia!$AA$6:$AA$55,0)),"")</x:f>
        <x:v>Tomasz Lademann</x:v>
      </x:c>
      <x:c r="C18" s="17" t="n">
        <x:f>IF(B18="","",INDEX(Obliczenia!$C$6:$C$55,MATCH(B18,Obliczenia!$B$6:$B$55,0)))</x:f>
        <x:v>1</x:v>
      </x:c>
      <x:c r="D18" s="28" t="n">
        <x:f>IF(B18="","",INDEX(Obliczenia!$D$6:$D$55,MATCH(B18,Obliczenia!$B$6:$B$55,0)))</x:f>
        <x:v>0</x:v>
      </x:c>
      <x:c r="E18" s="28" t="n">
        <x:f>IF(B18="","",INDEX(Obliczenia!$E$6:$E$55,MATCH(B18,Obliczenia!$B$6:$B$55,0)))</x:f>
        <x:v>3</x:v>
      </x:c>
      <x:c r="F18" s="28" t="n">
        <x:f>IF(B18="","",INDEX(Obliczenia!$F$6:$F$55,MATCH(B18,Obliczenia!$B$6:$B$55,0)))</x:f>
        <x:v>0</x:v>
      </x:c>
      <x:c r="G18" s="28" t="n">
        <x:f>IF(B18="","",INDEX(Obliczenia!$G$6:$G$55,MATCH(B18,Obliczenia!$B$6:$B$55,0)))</x:f>
        <x:v>0</x:v>
      </x:c>
      <x:c r="H18" s="28" t="n">
        <x:f>IF(B18="","",INDEX(Obliczenia!$H$6:$H$55,MATCH(B18,Obliczenia!$B$6:$B$55,0)))</x:f>
        <x:v>0</x:v>
      </x:c>
      <x:c r="I18" s="28" t="n">
        <x:f>IF(B18="","",INDEX(Obliczenia!$I$6:$I$55,MATCH(B18,Obliczenia!$B$6:$B$55,0)))</x:f>
        <x:v>0</x:v>
      </x:c>
      <x:c r="J18" s="28" t="n">
        <x:f>IF(B18="","",INDEX(Obliczenia!$J$6:$J$55,MATCH(B18,Obliczenia!$B$6:$B$55,0)))</x:f>
        <x:v>0</x:v>
      </x:c>
      <x:c r="K18" s="28" t="n">
        <x:f>IF(B18="","",INDEX(Obliczenia!$K$6:$K$55,MATCH(B18,Obliczenia!$B$6:$B$55,0)))</x:f>
        <x:v>0</x:v>
      </x:c>
      <x:c r="L18" s="28" t="n">
        <x:f>IF(B18="","",INDEX(Obliczenia!$L$6:$L$55,MATCH(B18,Obliczenia!$B$6:$B$55,0)))</x:f>
        <x:v>0</x:v>
      </x:c>
      <x:c r="M18" s="28" t="n">
        <x:f>IF(B18="","",INDEX(Obliczenia!$M$6:$M$55,MATCH(B18,Obliczenia!$B$6:$B$55,0)))</x:f>
        <x:v>0</x:v>
      </x:c>
      <x:c r="N18" s="28" t="n">
        <x:f>IF(B18="","",INDEX(Obliczenia!$N$6:$N$55,MATCH(B18,Obliczenia!$B$6:$B$55,0)))</x:f>
        <x:v>0</x:v>
      </x:c>
      <x:c r="O18" s="28" t="n">
        <x:f>IF(B18="","",INDEX(Obliczenia!$O$6:$O$55,MATCH(B18,Obliczenia!$B$6:$B$55,0)))</x:f>
        <x:v>0</x:v>
      </x:c>
      <x:c r="P18" s="28" t="n">
        <x:f>IF(B18="","",INDEX(Obliczenia!$P$6:$P$55,MATCH(B18,Obliczenia!$B$6:$B$55,0)))</x:f>
        <x:v>0</x:v>
      </x:c>
      <x:c r="Q18" s="28" t="n">
        <x:f>IF(B18="","",INDEX(Obliczenia!$Q$6:$Q$55,MATCH(B18,Obliczenia!$B$6:$B$55,0)))</x:f>
        <x:v>0</x:v>
      </x:c>
      <x:c r="R18" s="28" t="n">
        <x:f>IF(B18="","",INDEX(Obliczenia!$R$6:$R$55,MATCH(B18,Obliczenia!$B$6:$B$55,0)))</x:f>
        <x:v>0</x:v>
      </x:c>
      <x:c r="S18" s="28" t="n">
        <x:f>IF(B18="","",INDEX(Obliczenia!$S$6:$S$55,MATCH(B18,Obliczenia!$B$6:$B$55,0)))</x:f>
        <x:v>0</x:v>
      </x:c>
      <x:c r="T18" s="28" t="n">
        <x:f>IF(B18="","",INDEX(Obliczenia!$T$6:$T$55,MATCH(B18,Obliczenia!$B$6:$B$55,0)))</x:f>
        <x:v>0</x:v>
      </x:c>
      <x:c r="U18" s="28" t="n">
        <x:f>IF(B18="","",INDEX(Obliczenia!$U$6:$U$55,MATCH(B18,Obliczenia!$B$6:$B$55,0)))</x:f>
        <x:v>0</x:v>
      </x:c>
      <x:c r="V18" s="28" t="n">
        <x:f>IF(B18="","",INDEX(Obliczenia!$V$6:$V$55,MATCH(B18,Obliczenia!$B$6:$B$55,0)))</x:f>
        <x:v>0</x:v>
      </x:c>
      <x:c r="W18" s="28" t="n">
        <x:f>IF(B18="","",INDEX(Obliczenia!$W$6:$W$55,MATCH(B18,Obliczenia!$B$6:$B$55,0)))</x:f>
        <x:v>0</x:v>
      </x:c>
      <x:c r="X18" s="17" t="n">
        <x:f>IF(B18="","",INDEX(Obliczenia!$X$6:$X$55,MATCH(B18,Obliczenia!$B$6:$B$55,0)))</x:f>
        <x:v>3</x:v>
      </x:c>
      <x:c r="Y18" s="29" t="n">
        <x:f>IF(B18="","",INDEX(Obliczenia!$Y$6:$Y$55,MATCH(B18,Obliczenia!$B$6:$B$55,0)))</x:f>
        <x:v>3</x:v>
      </x:c>
      <x:c r="Z18" s="30" t="n">
        <x:f>IF(B18="","",INDEX(Obliczenia!$Z$6:$Z$55,MATCH(B18,Obliczenia!$B$6:$B$55,0)))</x:f>
        <x:v>0</x:v>
      </x:c>
    </x:row>
    <x:row r="19">
      <x:c r="A19" s="33" t="n">
        <x:f>IF(B19="","",1+COUNTIF($Y$6:$Y$55,"&gt;"&amp;Y19))</x:f>
        <x:v>14</x:v>
      </x:c>
      <x:c r="B19" s="17" t="str">
        <x:f>IFERROR(INDEX(Obliczenia!$B$6:$B$55,MATCH(LARGE(Obliczenia!$AA$6:$AA$55,14),Obliczenia!$AA$6:$AA$55,0)),"")</x:f>
        <x:v>Przemysław Marczewski</x:v>
      </x:c>
      <x:c r="C19" s="17" t="n">
        <x:f>IF(B19="","",INDEX(Obliczenia!$C$6:$C$55,MATCH(B19,Obliczenia!$B$6:$B$55,0)))</x:f>
        <x:v>1</x:v>
      </x:c>
      <x:c r="D19" s="28" t="n">
        <x:f>IF(B19="","",INDEX(Obliczenia!$D$6:$D$55,MATCH(B19,Obliczenia!$B$6:$B$55,0)))</x:f>
        <x:v>0</x:v>
      </x:c>
      <x:c r="E19" s="28" t="n">
        <x:f>IF(B19="","",INDEX(Obliczenia!$E$6:$E$55,MATCH(B19,Obliczenia!$B$6:$B$55,0)))</x:f>
        <x:v>0</x:v>
      </x:c>
      <x:c r="F19" s="28" t="n">
        <x:f>IF(B19="","",INDEX(Obliczenia!$F$6:$F$55,MATCH(B19,Obliczenia!$B$6:$B$55,0)))</x:f>
        <x:v>0</x:v>
      </x:c>
      <x:c r="G19" s="28" t="n">
        <x:f>IF(B19="","",INDEX(Obliczenia!$G$6:$G$55,MATCH(B19,Obliczenia!$B$6:$B$55,0)))</x:f>
        <x:v>2</x:v>
      </x:c>
      <x:c r="H19" s="28" t="n">
        <x:f>IF(B19="","",INDEX(Obliczenia!$H$6:$H$55,MATCH(B19,Obliczenia!$B$6:$B$55,0)))</x:f>
        <x:v>0</x:v>
      </x:c>
      <x:c r="I19" s="28" t="n">
        <x:f>IF(B19="","",INDEX(Obliczenia!$I$6:$I$55,MATCH(B19,Obliczenia!$B$6:$B$55,0)))</x:f>
        <x:v>0</x:v>
      </x:c>
      <x:c r="J19" s="28" t="n">
        <x:f>IF(B19="","",INDEX(Obliczenia!$J$6:$J$55,MATCH(B19,Obliczenia!$B$6:$B$55,0)))</x:f>
        <x:v>0</x:v>
      </x:c>
      <x:c r="K19" s="28" t="n">
        <x:f>IF(B19="","",INDEX(Obliczenia!$K$6:$K$55,MATCH(B19,Obliczenia!$B$6:$B$55,0)))</x:f>
        <x:v>0</x:v>
      </x:c>
      <x:c r="L19" s="28" t="n">
        <x:f>IF(B19="","",INDEX(Obliczenia!$L$6:$L$55,MATCH(B19,Obliczenia!$B$6:$B$55,0)))</x:f>
        <x:v>0</x:v>
      </x:c>
      <x:c r="M19" s="28" t="n">
        <x:f>IF(B19="","",INDEX(Obliczenia!$M$6:$M$55,MATCH(B19,Obliczenia!$B$6:$B$55,0)))</x:f>
        <x:v>0</x:v>
      </x:c>
      <x:c r="N19" s="28" t="n">
        <x:f>IF(B19="","",INDEX(Obliczenia!$N$6:$N$55,MATCH(B19,Obliczenia!$B$6:$B$55,0)))</x:f>
        <x:v>0</x:v>
      </x:c>
      <x:c r="O19" s="28" t="n">
        <x:f>IF(B19="","",INDEX(Obliczenia!$O$6:$O$55,MATCH(B19,Obliczenia!$B$6:$B$55,0)))</x:f>
        <x:v>0</x:v>
      </x:c>
      <x:c r="P19" s="28" t="n">
        <x:f>IF(B19="","",INDEX(Obliczenia!$P$6:$P$55,MATCH(B19,Obliczenia!$B$6:$B$55,0)))</x:f>
        <x:v>0</x:v>
      </x:c>
      <x:c r="Q19" s="28" t="n">
        <x:f>IF(B19="","",INDEX(Obliczenia!$Q$6:$Q$55,MATCH(B19,Obliczenia!$B$6:$B$55,0)))</x:f>
        <x:v>0</x:v>
      </x:c>
      <x:c r="R19" s="28" t="n">
        <x:f>IF(B19="","",INDEX(Obliczenia!$R$6:$R$55,MATCH(B19,Obliczenia!$B$6:$B$55,0)))</x:f>
        <x:v>0</x:v>
      </x:c>
      <x:c r="S19" s="28" t="n">
        <x:f>IF(B19="","",INDEX(Obliczenia!$S$6:$S$55,MATCH(B19,Obliczenia!$B$6:$B$55,0)))</x:f>
        <x:v>0</x:v>
      </x:c>
      <x:c r="T19" s="28" t="n">
        <x:f>IF(B19="","",INDEX(Obliczenia!$T$6:$T$55,MATCH(B19,Obliczenia!$B$6:$B$55,0)))</x:f>
        <x:v>0</x:v>
      </x:c>
      <x:c r="U19" s="28" t="n">
        <x:f>IF(B19="","",INDEX(Obliczenia!$U$6:$U$55,MATCH(B19,Obliczenia!$B$6:$B$55,0)))</x:f>
        <x:v>0</x:v>
      </x:c>
      <x:c r="V19" s="28" t="n">
        <x:f>IF(B19="","",INDEX(Obliczenia!$V$6:$V$55,MATCH(B19,Obliczenia!$B$6:$B$55,0)))</x:f>
        <x:v>0</x:v>
      </x:c>
      <x:c r="W19" s="28" t="n">
        <x:f>IF(B19="","",INDEX(Obliczenia!$W$6:$W$55,MATCH(B19,Obliczenia!$B$6:$B$55,0)))</x:f>
        <x:v>0</x:v>
      </x:c>
      <x:c r="X19" s="17" t="n">
        <x:f>IF(B19="","",INDEX(Obliczenia!$X$6:$X$55,MATCH(B19,Obliczenia!$B$6:$B$55,0)))</x:f>
        <x:v>2</x:v>
      </x:c>
      <x:c r="Y19" s="29" t="n">
        <x:f>IF(B19="","",INDEX(Obliczenia!$Y$6:$Y$55,MATCH(B19,Obliczenia!$B$6:$B$55,0)))</x:f>
        <x:v>2</x:v>
      </x:c>
      <x:c r="Z19" s="30" t="n">
        <x:f>IF(B19="","",INDEX(Obliczenia!$Z$6:$Z$55,MATCH(B19,Obliczenia!$B$6:$B$55,0)))</x:f>
        <x:v>0</x:v>
      </x:c>
    </x:row>
    <x:row r="20">
      <x:c r="A20" s="33" t="n">
        <x:f>IF(B20="","",1+COUNTIF($Y$6:$Y$55,"&gt;"&amp;Y20))</x:f>
        <x:v>15</x:v>
      </x:c>
      <x:c r="B20" s="17" t="str">
        <x:f>IFERROR(INDEX(Obliczenia!$B$6:$B$55,MATCH(LARGE(Obliczenia!$AA$6:$AA$55,15),Obliczenia!$AA$6:$AA$55,0)),"")</x:f>
        <x:v>Michał Maruszewski</x:v>
      </x:c>
      <x:c r="C20" s="17" t="n">
        <x:f>IF(B20="","",INDEX(Obliczenia!$C$6:$C$55,MATCH(B20,Obliczenia!$B$6:$B$55,0)))</x:f>
        <x:v>1</x:v>
      </x:c>
      <x:c r="D20" s="28" t="n">
        <x:f>IF(B20="","",INDEX(Obliczenia!$D$6:$D$55,MATCH(B20,Obliczenia!$B$6:$B$55,0)))</x:f>
        <x:v>0</x:v>
      </x:c>
      <x:c r="E20" s="28" t="n">
        <x:f>IF(B20="","",INDEX(Obliczenia!$E$6:$E$55,MATCH(B20,Obliczenia!$B$6:$B$55,0)))</x:f>
        <x:v>0</x:v>
      </x:c>
      <x:c r="F20" s="28" t="n">
        <x:f>IF(B20="","",INDEX(Obliczenia!$F$6:$F$55,MATCH(B20,Obliczenia!$B$6:$B$55,0)))</x:f>
        <x:v>0</x:v>
      </x:c>
      <x:c r="G20" s="28" t="n">
        <x:f>IF(B20="","",INDEX(Obliczenia!$G$6:$G$55,MATCH(B20,Obliczenia!$B$6:$B$55,0)))</x:f>
        <x:v>0</x:v>
      </x:c>
      <x:c r="H20" s="28" t="n">
        <x:f>IF(B20="","",INDEX(Obliczenia!$H$6:$H$55,MATCH(B20,Obliczenia!$B$6:$B$55,0)))</x:f>
        <x:v>0</x:v>
      </x:c>
      <x:c r="I20" s="28" t="n">
        <x:f>IF(B20="","",INDEX(Obliczenia!$I$6:$I$55,MATCH(B20,Obliczenia!$B$6:$B$55,0)))</x:f>
        <x:v>0</x:v>
      </x:c>
      <x:c r="J20" s="28" t="n">
        <x:f>IF(B20="","",INDEX(Obliczenia!$J$6:$J$55,MATCH(B20,Obliczenia!$B$6:$B$55,0)))</x:f>
        <x:v>1</x:v>
      </x:c>
      <x:c r="K20" s="28" t="n">
        <x:f>IF(B20="","",INDEX(Obliczenia!$K$6:$K$55,MATCH(B20,Obliczenia!$B$6:$B$55,0)))</x:f>
        <x:v>0</x:v>
      </x:c>
      <x:c r="L20" s="28" t="n">
        <x:f>IF(B20="","",INDEX(Obliczenia!$L$6:$L$55,MATCH(B20,Obliczenia!$B$6:$B$55,0)))</x:f>
        <x:v>0</x:v>
      </x:c>
      <x:c r="M20" s="28" t="n">
        <x:f>IF(B20="","",INDEX(Obliczenia!$M$6:$M$55,MATCH(B20,Obliczenia!$B$6:$B$55,0)))</x:f>
        <x:v>0</x:v>
      </x:c>
      <x:c r="N20" s="28" t="n">
        <x:f>IF(B20="","",INDEX(Obliczenia!$N$6:$N$55,MATCH(B20,Obliczenia!$B$6:$B$55,0)))</x:f>
        <x:v>0</x:v>
      </x:c>
      <x:c r="O20" s="28" t="n">
        <x:f>IF(B20="","",INDEX(Obliczenia!$O$6:$O$55,MATCH(B20,Obliczenia!$B$6:$B$55,0)))</x:f>
        <x:v>0</x:v>
      </x:c>
      <x:c r="P20" s="28" t="n">
        <x:f>IF(B20="","",INDEX(Obliczenia!$P$6:$P$55,MATCH(B20,Obliczenia!$B$6:$B$55,0)))</x:f>
        <x:v>0</x:v>
      </x:c>
      <x:c r="Q20" s="28" t="n">
        <x:f>IF(B20="","",INDEX(Obliczenia!$Q$6:$Q$55,MATCH(B20,Obliczenia!$B$6:$B$55,0)))</x:f>
        <x:v>0</x:v>
      </x:c>
      <x:c r="R20" s="28" t="n">
        <x:f>IF(B20="","",INDEX(Obliczenia!$R$6:$R$55,MATCH(B20,Obliczenia!$B$6:$B$55,0)))</x:f>
        <x:v>0</x:v>
      </x:c>
      <x:c r="S20" s="28" t="n">
        <x:f>IF(B20="","",INDEX(Obliczenia!$S$6:$S$55,MATCH(B20,Obliczenia!$B$6:$B$55,0)))</x:f>
        <x:v>0</x:v>
      </x:c>
      <x:c r="T20" s="28" t="n">
        <x:f>IF(B20="","",INDEX(Obliczenia!$T$6:$T$55,MATCH(B20,Obliczenia!$B$6:$B$55,0)))</x:f>
        <x:v>0</x:v>
      </x:c>
      <x:c r="U20" s="28" t="n">
        <x:f>IF(B20="","",INDEX(Obliczenia!$U$6:$U$55,MATCH(B20,Obliczenia!$B$6:$B$55,0)))</x:f>
        <x:v>0</x:v>
      </x:c>
      <x:c r="V20" s="28" t="n">
        <x:f>IF(B20="","",INDEX(Obliczenia!$V$6:$V$55,MATCH(B20,Obliczenia!$B$6:$B$55,0)))</x:f>
        <x:v>0</x:v>
      </x:c>
      <x:c r="W20" s="28" t="n">
        <x:f>IF(B20="","",INDEX(Obliczenia!$W$6:$W$55,MATCH(B20,Obliczenia!$B$6:$B$55,0)))</x:f>
        <x:v>0</x:v>
      </x:c>
      <x:c r="X20" s="17" t="n">
        <x:f>IF(B20="","",INDEX(Obliczenia!$X$6:$X$55,MATCH(B20,Obliczenia!$B$6:$B$55,0)))</x:f>
        <x:v>1</x:v>
      </x:c>
      <x:c r="Y20" s="29" t="n">
        <x:f>IF(B20="","",INDEX(Obliczenia!$Y$6:$Y$55,MATCH(B20,Obliczenia!$B$6:$B$55,0)))</x:f>
        <x:v>1</x:v>
      </x:c>
      <x:c r="Z20" s="30" t="n">
        <x:f>IF(B20="","",INDEX(Obliczenia!$Z$6:$Z$55,MATCH(B20,Obliczenia!$B$6:$B$55,0)))</x:f>
        <x:v>0</x:v>
      </x:c>
    </x:row>
    <x:row r="21">
      <x:c r="A21" s="33" t="str">
        <x:f>IF(B21="","",1+COUNTIF($Y$6:$Y$55,"&gt;"&amp;Y21))</x:f>
      </x:c>
      <x:c r="B21" s="17" t="str">
        <x:f>IFERROR(INDEX(Obliczenia!$B$6:$B$55,MATCH(LARGE(Obliczenia!$AA$6:$AA$55,16),Obliczenia!$AA$6:$AA$55,0)),"")</x:f>
      </x:c>
      <x:c r="C21" s="17" t="str">
        <x:f>IF(B21="","",INDEX(Obliczenia!$C$6:$C$55,MATCH(B21,Obliczenia!$B$6:$B$55,0)))</x:f>
      </x:c>
      <x:c r="D21" s="28" t="str">
        <x:f>IF(B21="","",INDEX(Obliczenia!$D$6:$D$55,MATCH(B21,Obliczenia!$B$6:$B$55,0)))</x:f>
      </x:c>
      <x:c r="E21" s="28" t="str">
        <x:f>IF(B21="","",INDEX(Obliczenia!$E$6:$E$55,MATCH(B21,Obliczenia!$B$6:$B$55,0)))</x:f>
      </x:c>
      <x:c r="F21" s="28" t="str">
        <x:f>IF(B21="","",INDEX(Obliczenia!$F$6:$F$55,MATCH(B21,Obliczenia!$B$6:$B$55,0)))</x:f>
      </x:c>
      <x:c r="G21" s="28" t="str">
        <x:f>IF(B21="","",INDEX(Obliczenia!$G$6:$G$55,MATCH(B21,Obliczenia!$B$6:$B$55,0)))</x:f>
      </x:c>
      <x:c r="H21" s="28" t="str">
        <x:f>IF(B21="","",INDEX(Obliczenia!$H$6:$H$55,MATCH(B21,Obliczenia!$B$6:$B$55,0)))</x:f>
      </x:c>
      <x:c r="I21" s="28" t="str">
        <x:f>IF(B21="","",INDEX(Obliczenia!$I$6:$I$55,MATCH(B21,Obliczenia!$B$6:$B$55,0)))</x:f>
      </x:c>
      <x:c r="J21" s="28" t="str">
        <x:f>IF(B21="","",INDEX(Obliczenia!$J$6:$J$55,MATCH(B21,Obliczenia!$B$6:$B$55,0)))</x:f>
      </x:c>
      <x:c r="K21" s="28" t="str">
        <x:f>IF(B21="","",INDEX(Obliczenia!$K$6:$K$55,MATCH(B21,Obliczenia!$B$6:$B$55,0)))</x:f>
      </x:c>
      <x:c r="L21" s="28" t="str">
        <x:f>IF(B21="","",INDEX(Obliczenia!$L$6:$L$55,MATCH(B21,Obliczenia!$B$6:$B$55,0)))</x:f>
      </x:c>
      <x:c r="M21" s="28" t="str">
        <x:f>IF(B21="","",INDEX(Obliczenia!$M$6:$M$55,MATCH(B21,Obliczenia!$B$6:$B$55,0)))</x:f>
      </x:c>
      <x:c r="N21" s="28" t="str">
        <x:f>IF(B21="","",INDEX(Obliczenia!$N$6:$N$55,MATCH(B21,Obliczenia!$B$6:$B$55,0)))</x:f>
      </x:c>
      <x:c r="O21" s="28" t="str">
        <x:f>IF(B21="","",INDEX(Obliczenia!$O$6:$O$55,MATCH(B21,Obliczenia!$B$6:$B$55,0)))</x:f>
      </x:c>
      <x:c r="P21" s="28" t="str">
        <x:f>IF(B21="","",INDEX(Obliczenia!$P$6:$P$55,MATCH(B21,Obliczenia!$B$6:$B$55,0)))</x:f>
      </x:c>
      <x:c r="Q21" s="28" t="str">
        <x:f>IF(B21="","",INDEX(Obliczenia!$Q$6:$Q$55,MATCH(B21,Obliczenia!$B$6:$B$55,0)))</x:f>
      </x:c>
      <x:c r="R21" s="28" t="str">
        <x:f>IF(B21="","",INDEX(Obliczenia!$R$6:$R$55,MATCH(B21,Obliczenia!$B$6:$B$55,0)))</x:f>
      </x:c>
      <x:c r="S21" s="28" t="str">
        <x:f>IF(B21="","",INDEX(Obliczenia!$S$6:$S$55,MATCH(B21,Obliczenia!$B$6:$B$55,0)))</x:f>
      </x:c>
      <x:c r="T21" s="28" t="str">
        <x:f>IF(B21="","",INDEX(Obliczenia!$T$6:$T$55,MATCH(B21,Obliczenia!$B$6:$B$55,0)))</x:f>
      </x:c>
      <x:c r="U21" s="28" t="str">
        <x:f>IF(B21="","",INDEX(Obliczenia!$U$6:$U$55,MATCH(B21,Obliczenia!$B$6:$B$55,0)))</x:f>
      </x:c>
      <x:c r="V21" s="28" t="str">
        <x:f>IF(B21="","",INDEX(Obliczenia!$V$6:$V$55,MATCH(B21,Obliczenia!$B$6:$B$55,0)))</x:f>
      </x:c>
      <x:c r="W21" s="28" t="str">
        <x:f>IF(B21="","",INDEX(Obliczenia!$W$6:$W$55,MATCH(B21,Obliczenia!$B$6:$B$55,0)))</x:f>
      </x:c>
      <x:c r="X21" s="17" t="str">
        <x:f>IF(B21="","",INDEX(Obliczenia!$X$6:$X$55,MATCH(B21,Obliczenia!$B$6:$B$55,0)))</x:f>
      </x:c>
      <x:c r="Y21" s="29" t="str">
        <x:f>IF(B21="","",INDEX(Obliczenia!$Y$6:$Y$55,MATCH(B21,Obliczenia!$B$6:$B$55,0)))</x:f>
      </x:c>
      <x:c r="Z21" s="30" t="str">
        <x:f>IF(B21="","",INDEX(Obliczenia!$Z$6:$Z$55,MATCH(B21,Obliczenia!$B$6:$B$55,0)))</x:f>
      </x:c>
    </x:row>
    <x:row r="22">
      <x:c r="A22" s="33" t="str">
        <x:f>IF(B22="","",1+COUNTIF($Y$6:$Y$55,"&gt;"&amp;Y22))</x:f>
      </x:c>
      <x:c r="B22" s="17" t="str">
        <x:f>IFERROR(INDEX(Obliczenia!$B$6:$B$55,MATCH(LARGE(Obliczenia!$AA$6:$AA$55,17),Obliczenia!$AA$6:$AA$55,0)),"")</x:f>
      </x:c>
      <x:c r="C22" s="17" t="str">
        <x:f>IF(B22="","",INDEX(Obliczenia!$C$6:$C$55,MATCH(B22,Obliczenia!$B$6:$B$55,0)))</x:f>
      </x:c>
      <x:c r="D22" s="28" t="str">
        <x:f>IF(B22="","",INDEX(Obliczenia!$D$6:$D$55,MATCH(B22,Obliczenia!$B$6:$B$55,0)))</x:f>
      </x:c>
      <x:c r="E22" s="28" t="str">
        <x:f>IF(B22="","",INDEX(Obliczenia!$E$6:$E$55,MATCH(B22,Obliczenia!$B$6:$B$55,0)))</x:f>
      </x:c>
      <x:c r="F22" s="28" t="str">
        <x:f>IF(B22="","",INDEX(Obliczenia!$F$6:$F$55,MATCH(B22,Obliczenia!$B$6:$B$55,0)))</x:f>
      </x:c>
      <x:c r="G22" s="28" t="str">
        <x:f>IF(B22="","",INDEX(Obliczenia!$G$6:$G$55,MATCH(B22,Obliczenia!$B$6:$B$55,0)))</x:f>
      </x:c>
      <x:c r="H22" s="28" t="str">
        <x:f>IF(B22="","",INDEX(Obliczenia!$H$6:$H$55,MATCH(B22,Obliczenia!$B$6:$B$55,0)))</x:f>
      </x:c>
      <x:c r="I22" s="28" t="str">
        <x:f>IF(B22="","",INDEX(Obliczenia!$I$6:$I$55,MATCH(B22,Obliczenia!$B$6:$B$55,0)))</x:f>
      </x:c>
      <x:c r="J22" s="28" t="str">
        <x:f>IF(B22="","",INDEX(Obliczenia!$J$6:$J$55,MATCH(B22,Obliczenia!$B$6:$B$55,0)))</x:f>
      </x:c>
      <x:c r="K22" s="28" t="str">
        <x:f>IF(B22="","",INDEX(Obliczenia!$K$6:$K$55,MATCH(B22,Obliczenia!$B$6:$B$55,0)))</x:f>
      </x:c>
      <x:c r="L22" s="28" t="str">
        <x:f>IF(B22="","",INDEX(Obliczenia!$L$6:$L$55,MATCH(B22,Obliczenia!$B$6:$B$55,0)))</x:f>
      </x:c>
      <x:c r="M22" s="28" t="str">
        <x:f>IF(B22="","",INDEX(Obliczenia!$M$6:$M$55,MATCH(B22,Obliczenia!$B$6:$B$55,0)))</x:f>
      </x:c>
      <x:c r="N22" s="28" t="str">
        <x:f>IF(B22="","",INDEX(Obliczenia!$N$6:$N$55,MATCH(B22,Obliczenia!$B$6:$B$55,0)))</x:f>
      </x:c>
      <x:c r="O22" s="28" t="str">
        <x:f>IF(B22="","",INDEX(Obliczenia!$O$6:$O$55,MATCH(B22,Obliczenia!$B$6:$B$55,0)))</x:f>
      </x:c>
      <x:c r="P22" s="28" t="str">
        <x:f>IF(B22="","",INDEX(Obliczenia!$P$6:$P$55,MATCH(B22,Obliczenia!$B$6:$B$55,0)))</x:f>
      </x:c>
      <x:c r="Q22" s="28" t="str">
        <x:f>IF(B22="","",INDEX(Obliczenia!$Q$6:$Q$55,MATCH(B22,Obliczenia!$B$6:$B$55,0)))</x:f>
      </x:c>
      <x:c r="R22" s="28" t="str">
        <x:f>IF(B22="","",INDEX(Obliczenia!$R$6:$R$55,MATCH(B22,Obliczenia!$B$6:$B$55,0)))</x:f>
      </x:c>
      <x:c r="S22" s="28" t="str">
        <x:f>IF(B22="","",INDEX(Obliczenia!$S$6:$S$55,MATCH(B22,Obliczenia!$B$6:$B$55,0)))</x:f>
      </x:c>
      <x:c r="T22" s="28" t="str">
        <x:f>IF(B22="","",INDEX(Obliczenia!$T$6:$T$55,MATCH(B22,Obliczenia!$B$6:$B$55,0)))</x:f>
      </x:c>
      <x:c r="U22" s="28" t="str">
        <x:f>IF(B22="","",INDEX(Obliczenia!$U$6:$U$55,MATCH(B22,Obliczenia!$B$6:$B$55,0)))</x:f>
      </x:c>
      <x:c r="V22" s="28" t="str">
        <x:f>IF(B22="","",INDEX(Obliczenia!$V$6:$V$55,MATCH(B22,Obliczenia!$B$6:$B$55,0)))</x:f>
      </x:c>
      <x:c r="W22" s="28" t="str">
        <x:f>IF(B22="","",INDEX(Obliczenia!$W$6:$W$55,MATCH(B22,Obliczenia!$B$6:$B$55,0)))</x:f>
      </x:c>
      <x:c r="X22" s="17" t="str">
        <x:f>IF(B22="","",INDEX(Obliczenia!$X$6:$X$55,MATCH(B22,Obliczenia!$B$6:$B$55,0)))</x:f>
      </x:c>
      <x:c r="Y22" s="29" t="str">
        <x:f>IF(B22="","",INDEX(Obliczenia!$Y$6:$Y$55,MATCH(B22,Obliczenia!$B$6:$B$55,0)))</x:f>
      </x:c>
      <x:c r="Z22" s="30" t="str">
        <x:f>IF(B22="","",INDEX(Obliczenia!$Z$6:$Z$55,MATCH(B22,Obliczenia!$B$6:$B$55,0)))</x:f>
      </x:c>
    </x:row>
    <x:row r="23">
      <x:c r="A23" s="33" t="str">
        <x:f>IF(B23="","",1+COUNTIF($Y$6:$Y$55,"&gt;"&amp;Y23))</x:f>
      </x:c>
      <x:c r="B23" s="17" t="str">
        <x:f>IFERROR(INDEX(Obliczenia!$B$6:$B$55,MATCH(LARGE(Obliczenia!$AA$6:$AA$55,18),Obliczenia!$AA$6:$AA$55,0)),"")</x:f>
      </x:c>
      <x:c r="C23" s="17" t="str">
        <x:f>IF(B23="","",INDEX(Obliczenia!$C$6:$C$55,MATCH(B23,Obliczenia!$B$6:$B$55,0)))</x:f>
      </x:c>
      <x:c r="D23" s="28" t="str">
        <x:f>IF(B23="","",INDEX(Obliczenia!$D$6:$D$55,MATCH(B23,Obliczenia!$B$6:$B$55,0)))</x:f>
      </x:c>
      <x:c r="E23" s="28" t="str">
        <x:f>IF(B23="","",INDEX(Obliczenia!$E$6:$E$55,MATCH(B23,Obliczenia!$B$6:$B$55,0)))</x:f>
      </x:c>
      <x:c r="F23" s="28" t="str">
        <x:f>IF(B23="","",INDEX(Obliczenia!$F$6:$F$55,MATCH(B23,Obliczenia!$B$6:$B$55,0)))</x:f>
      </x:c>
      <x:c r="G23" s="28" t="str">
        <x:f>IF(B23="","",INDEX(Obliczenia!$G$6:$G$55,MATCH(B23,Obliczenia!$B$6:$B$55,0)))</x:f>
      </x:c>
      <x:c r="H23" s="28" t="str">
        <x:f>IF(B23="","",INDEX(Obliczenia!$H$6:$H$55,MATCH(B23,Obliczenia!$B$6:$B$55,0)))</x:f>
      </x:c>
      <x:c r="I23" s="28" t="str">
        <x:f>IF(B23="","",INDEX(Obliczenia!$I$6:$I$55,MATCH(B23,Obliczenia!$B$6:$B$55,0)))</x:f>
      </x:c>
      <x:c r="J23" s="28" t="str">
        <x:f>IF(B23="","",INDEX(Obliczenia!$J$6:$J$55,MATCH(B23,Obliczenia!$B$6:$B$55,0)))</x:f>
      </x:c>
      <x:c r="K23" s="28" t="str">
        <x:f>IF(B23="","",INDEX(Obliczenia!$K$6:$K$55,MATCH(B23,Obliczenia!$B$6:$B$55,0)))</x:f>
      </x:c>
      <x:c r="L23" s="28" t="str">
        <x:f>IF(B23="","",INDEX(Obliczenia!$L$6:$L$55,MATCH(B23,Obliczenia!$B$6:$B$55,0)))</x:f>
      </x:c>
      <x:c r="M23" s="28" t="str">
        <x:f>IF(B23="","",INDEX(Obliczenia!$M$6:$M$55,MATCH(B23,Obliczenia!$B$6:$B$55,0)))</x:f>
      </x:c>
      <x:c r="N23" s="28" t="str">
        <x:f>IF(B23="","",INDEX(Obliczenia!$N$6:$N$55,MATCH(B23,Obliczenia!$B$6:$B$55,0)))</x:f>
      </x:c>
      <x:c r="O23" s="28" t="str">
        <x:f>IF(B23="","",INDEX(Obliczenia!$O$6:$O$55,MATCH(B23,Obliczenia!$B$6:$B$55,0)))</x:f>
      </x:c>
      <x:c r="P23" s="28" t="str">
        <x:f>IF(B23="","",INDEX(Obliczenia!$P$6:$P$55,MATCH(B23,Obliczenia!$B$6:$B$55,0)))</x:f>
      </x:c>
      <x:c r="Q23" s="28" t="str">
        <x:f>IF(B23="","",INDEX(Obliczenia!$Q$6:$Q$55,MATCH(B23,Obliczenia!$B$6:$B$55,0)))</x:f>
      </x:c>
      <x:c r="R23" s="28" t="str">
        <x:f>IF(B23="","",INDEX(Obliczenia!$R$6:$R$55,MATCH(B23,Obliczenia!$B$6:$B$55,0)))</x:f>
      </x:c>
      <x:c r="S23" s="28" t="str">
        <x:f>IF(B23="","",INDEX(Obliczenia!$S$6:$S$55,MATCH(B23,Obliczenia!$B$6:$B$55,0)))</x:f>
      </x:c>
      <x:c r="T23" s="28" t="str">
        <x:f>IF(B23="","",INDEX(Obliczenia!$T$6:$T$55,MATCH(B23,Obliczenia!$B$6:$B$55,0)))</x:f>
      </x:c>
      <x:c r="U23" s="28" t="str">
        <x:f>IF(B23="","",INDEX(Obliczenia!$U$6:$U$55,MATCH(B23,Obliczenia!$B$6:$B$55,0)))</x:f>
      </x:c>
      <x:c r="V23" s="28" t="str">
        <x:f>IF(B23="","",INDEX(Obliczenia!$V$6:$V$55,MATCH(B23,Obliczenia!$B$6:$B$55,0)))</x:f>
      </x:c>
      <x:c r="W23" s="28" t="str">
        <x:f>IF(B23="","",INDEX(Obliczenia!$W$6:$W$55,MATCH(B23,Obliczenia!$B$6:$B$55,0)))</x:f>
      </x:c>
      <x:c r="X23" s="17" t="str">
        <x:f>IF(B23="","",INDEX(Obliczenia!$X$6:$X$55,MATCH(B23,Obliczenia!$B$6:$B$55,0)))</x:f>
      </x:c>
      <x:c r="Y23" s="29" t="str">
        <x:f>IF(B23="","",INDEX(Obliczenia!$Y$6:$Y$55,MATCH(B23,Obliczenia!$B$6:$B$55,0)))</x:f>
      </x:c>
      <x:c r="Z23" s="30" t="str">
        <x:f>IF(B23="","",INDEX(Obliczenia!$Z$6:$Z$55,MATCH(B23,Obliczenia!$B$6:$B$55,0)))</x:f>
      </x:c>
    </x:row>
    <x:row r="24">
      <x:c r="A24" s="33" t="str">
        <x:f>IF(B24="","",1+COUNTIF($Y$6:$Y$55,"&gt;"&amp;Y24))</x:f>
      </x:c>
      <x:c r="B24" s="17" t="str">
        <x:f>IFERROR(INDEX(Obliczenia!$B$6:$B$55,MATCH(LARGE(Obliczenia!$AA$6:$AA$55,19),Obliczenia!$AA$6:$AA$55,0)),"")</x:f>
      </x:c>
      <x:c r="C24" s="17" t="str">
        <x:f>IF(B24="","",INDEX(Obliczenia!$C$6:$C$55,MATCH(B24,Obliczenia!$B$6:$B$55,0)))</x:f>
      </x:c>
      <x:c r="D24" s="28" t="str">
        <x:f>IF(B24="","",INDEX(Obliczenia!$D$6:$D$55,MATCH(B24,Obliczenia!$B$6:$B$55,0)))</x:f>
      </x:c>
      <x:c r="E24" s="28" t="str">
        <x:f>IF(B24="","",INDEX(Obliczenia!$E$6:$E$55,MATCH(B24,Obliczenia!$B$6:$B$55,0)))</x:f>
      </x:c>
      <x:c r="F24" s="28" t="str">
        <x:f>IF(B24="","",INDEX(Obliczenia!$F$6:$F$55,MATCH(B24,Obliczenia!$B$6:$B$55,0)))</x:f>
      </x:c>
      <x:c r="G24" s="28" t="str">
        <x:f>IF(B24="","",INDEX(Obliczenia!$G$6:$G$55,MATCH(B24,Obliczenia!$B$6:$B$55,0)))</x:f>
      </x:c>
      <x:c r="H24" s="28" t="str">
        <x:f>IF(B24="","",INDEX(Obliczenia!$H$6:$H$55,MATCH(B24,Obliczenia!$B$6:$B$55,0)))</x:f>
      </x:c>
      <x:c r="I24" s="28" t="str">
        <x:f>IF(B24="","",INDEX(Obliczenia!$I$6:$I$55,MATCH(B24,Obliczenia!$B$6:$B$55,0)))</x:f>
      </x:c>
      <x:c r="J24" s="28" t="str">
        <x:f>IF(B24="","",INDEX(Obliczenia!$J$6:$J$55,MATCH(B24,Obliczenia!$B$6:$B$55,0)))</x:f>
      </x:c>
      <x:c r="K24" s="28" t="str">
        <x:f>IF(B24="","",INDEX(Obliczenia!$K$6:$K$55,MATCH(B24,Obliczenia!$B$6:$B$55,0)))</x:f>
      </x:c>
      <x:c r="L24" s="28" t="str">
        <x:f>IF(B24="","",INDEX(Obliczenia!$L$6:$L$55,MATCH(B24,Obliczenia!$B$6:$B$55,0)))</x:f>
      </x:c>
      <x:c r="M24" s="28" t="str">
        <x:f>IF(B24="","",INDEX(Obliczenia!$M$6:$M$55,MATCH(B24,Obliczenia!$B$6:$B$55,0)))</x:f>
      </x:c>
      <x:c r="N24" s="28" t="str">
        <x:f>IF(B24="","",INDEX(Obliczenia!$N$6:$N$55,MATCH(B24,Obliczenia!$B$6:$B$55,0)))</x:f>
      </x:c>
      <x:c r="O24" s="28" t="str">
        <x:f>IF(B24="","",INDEX(Obliczenia!$O$6:$O$55,MATCH(B24,Obliczenia!$B$6:$B$55,0)))</x:f>
      </x:c>
      <x:c r="P24" s="28" t="str">
        <x:f>IF(B24="","",INDEX(Obliczenia!$P$6:$P$55,MATCH(B24,Obliczenia!$B$6:$B$55,0)))</x:f>
      </x:c>
      <x:c r="Q24" s="28" t="str">
        <x:f>IF(B24="","",INDEX(Obliczenia!$Q$6:$Q$55,MATCH(B24,Obliczenia!$B$6:$B$55,0)))</x:f>
      </x:c>
      <x:c r="R24" s="28" t="str">
        <x:f>IF(B24="","",INDEX(Obliczenia!$R$6:$R$55,MATCH(B24,Obliczenia!$B$6:$B$55,0)))</x:f>
      </x:c>
      <x:c r="S24" s="28" t="str">
        <x:f>IF(B24="","",INDEX(Obliczenia!$S$6:$S$55,MATCH(B24,Obliczenia!$B$6:$B$55,0)))</x:f>
      </x:c>
      <x:c r="T24" s="28" t="str">
        <x:f>IF(B24="","",INDEX(Obliczenia!$T$6:$T$55,MATCH(B24,Obliczenia!$B$6:$B$55,0)))</x:f>
      </x:c>
      <x:c r="U24" s="28" t="str">
        <x:f>IF(B24="","",INDEX(Obliczenia!$U$6:$U$55,MATCH(B24,Obliczenia!$B$6:$B$55,0)))</x:f>
      </x:c>
      <x:c r="V24" s="28" t="str">
        <x:f>IF(B24="","",INDEX(Obliczenia!$V$6:$V$55,MATCH(B24,Obliczenia!$B$6:$B$55,0)))</x:f>
      </x:c>
      <x:c r="W24" s="28" t="str">
        <x:f>IF(B24="","",INDEX(Obliczenia!$W$6:$W$55,MATCH(B24,Obliczenia!$B$6:$B$55,0)))</x:f>
      </x:c>
      <x:c r="X24" s="17" t="str">
        <x:f>IF(B24="","",INDEX(Obliczenia!$X$6:$X$55,MATCH(B24,Obliczenia!$B$6:$B$55,0)))</x:f>
      </x:c>
      <x:c r="Y24" s="29" t="str">
        <x:f>IF(B24="","",INDEX(Obliczenia!$Y$6:$Y$55,MATCH(B24,Obliczenia!$B$6:$B$55,0)))</x:f>
      </x:c>
      <x:c r="Z24" s="30" t="str">
        <x:f>IF(B24="","",INDEX(Obliczenia!$Z$6:$Z$55,MATCH(B24,Obliczenia!$B$6:$B$55,0)))</x:f>
      </x:c>
    </x:row>
    <x:row r="25">
      <x:c r="A25" s="33" t="str">
        <x:f>IF(B25="","",1+COUNTIF($Y$6:$Y$55,"&gt;"&amp;Y25))</x:f>
      </x:c>
      <x:c r="B25" s="17" t="str">
        <x:f>IFERROR(INDEX(Obliczenia!$B$6:$B$55,MATCH(LARGE(Obliczenia!$AA$6:$AA$55,20),Obliczenia!$AA$6:$AA$55,0)),"")</x:f>
      </x:c>
      <x:c r="C25" s="17" t="str">
        <x:f>IF(B25="","",INDEX(Obliczenia!$C$6:$C$55,MATCH(B25,Obliczenia!$B$6:$B$55,0)))</x:f>
      </x:c>
      <x:c r="D25" s="28" t="str">
        <x:f>IF(B25="","",INDEX(Obliczenia!$D$6:$D$55,MATCH(B25,Obliczenia!$B$6:$B$55,0)))</x:f>
      </x:c>
      <x:c r="E25" s="28" t="str">
        <x:f>IF(B25="","",INDEX(Obliczenia!$E$6:$E$55,MATCH(B25,Obliczenia!$B$6:$B$55,0)))</x:f>
      </x:c>
      <x:c r="F25" s="28" t="str">
        <x:f>IF(B25="","",INDEX(Obliczenia!$F$6:$F$55,MATCH(B25,Obliczenia!$B$6:$B$55,0)))</x:f>
      </x:c>
      <x:c r="G25" s="28" t="str">
        <x:f>IF(B25="","",INDEX(Obliczenia!$G$6:$G$55,MATCH(B25,Obliczenia!$B$6:$B$55,0)))</x:f>
      </x:c>
      <x:c r="H25" s="28" t="str">
        <x:f>IF(B25="","",INDEX(Obliczenia!$H$6:$H$55,MATCH(B25,Obliczenia!$B$6:$B$55,0)))</x:f>
      </x:c>
      <x:c r="I25" s="28" t="str">
        <x:f>IF(B25="","",INDEX(Obliczenia!$I$6:$I$55,MATCH(B25,Obliczenia!$B$6:$B$55,0)))</x:f>
      </x:c>
      <x:c r="J25" s="28" t="str">
        <x:f>IF(B25="","",INDEX(Obliczenia!$J$6:$J$55,MATCH(B25,Obliczenia!$B$6:$B$55,0)))</x:f>
      </x:c>
      <x:c r="K25" s="28" t="str">
        <x:f>IF(B25="","",INDEX(Obliczenia!$K$6:$K$55,MATCH(B25,Obliczenia!$B$6:$B$55,0)))</x:f>
      </x:c>
      <x:c r="L25" s="28" t="str">
        <x:f>IF(B25="","",INDEX(Obliczenia!$L$6:$L$55,MATCH(B25,Obliczenia!$B$6:$B$55,0)))</x:f>
      </x:c>
      <x:c r="M25" s="28" t="str">
        <x:f>IF(B25="","",INDEX(Obliczenia!$M$6:$M$55,MATCH(B25,Obliczenia!$B$6:$B$55,0)))</x:f>
      </x:c>
      <x:c r="N25" s="28" t="str">
        <x:f>IF(B25="","",INDEX(Obliczenia!$N$6:$N$55,MATCH(B25,Obliczenia!$B$6:$B$55,0)))</x:f>
      </x:c>
      <x:c r="O25" s="28" t="str">
        <x:f>IF(B25="","",INDEX(Obliczenia!$O$6:$O$55,MATCH(B25,Obliczenia!$B$6:$B$55,0)))</x:f>
      </x:c>
      <x:c r="P25" s="28" t="str">
        <x:f>IF(B25="","",INDEX(Obliczenia!$P$6:$P$55,MATCH(B25,Obliczenia!$B$6:$B$55,0)))</x:f>
      </x:c>
      <x:c r="Q25" s="28" t="str">
        <x:f>IF(B25="","",INDEX(Obliczenia!$Q$6:$Q$55,MATCH(B25,Obliczenia!$B$6:$B$55,0)))</x:f>
      </x:c>
      <x:c r="R25" s="28" t="str">
        <x:f>IF(B25="","",INDEX(Obliczenia!$R$6:$R$55,MATCH(B25,Obliczenia!$B$6:$B$55,0)))</x:f>
      </x:c>
      <x:c r="S25" s="28" t="str">
        <x:f>IF(B25="","",INDEX(Obliczenia!$S$6:$S$55,MATCH(B25,Obliczenia!$B$6:$B$55,0)))</x:f>
      </x:c>
      <x:c r="T25" s="28" t="str">
        <x:f>IF(B25="","",INDEX(Obliczenia!$T$6:$T$55,MATCH(B25,Obliczenia!$B$6:$B$55,0)))</x:f>
      </x:c>
      <x:c r="U25" s="28" t="str">
        <x:f>IF(B25="","",INDEX(Obliczenia!$U$6:$U$55,MATCH(B25,Obliczenia!$B$6:$B$55,0)))</x:f>
      </x:c>
      <x:c r="V25" s="28" t="str">
        <x:f>IF(B25="","",INDEX(Obliczenia!$V$6:$V$55,MATCH(B25,Obliczenia!$B$6:$B$55,0)))</x:f>
      </x:c>
      <x:c r="W25" s="28" t="str">
        <x:f>IF(B25="","",INDEX(Obliczenia!$W$6:$W$55,MATCH(B25,Obliczenia!$B$6:$B$55,0)))</x:f>
      </x:c>
      <x:c r="X25" s="17" t="str">
        <x:f>IF(B25="","",INDEX(Obliczenia!$X$6:$X$55,MATCH(B25,Obliczenia!$B$6:$B$55,0)))</x:f>
      </x:c>
      <x:c r="Y25" s="29" t="str">
        <x:f>IF(B25="","",INDEX(Obliczenia!$Y$6:$Y$55,MATCH(B25,Obliczenia!$B$6:$B$55,0)))</x:f>
      </x:c>
      <x:c r="Z25" s="30" t="str">
        <x:f>IF(B25="","",INDEX(Obliczenia!$Z$6:$Z$55,MATCH(B25,Obliczenia!$B$6:$B$55,0)))</x:f>
      </x:c>
    </x:row>
    <x:row r="26">
      <x:c r="A26" s="33" t="str">
        <x:f>IF(B26="","",1+COUNTIF($Y$6:$Y$55,"&gt;"&amp;Y26))</x:f>
      </x:c>
      <x:c r="B26" s="17" t="str">
        <x:f>IFERROR(INDEX(Obliczenia!$B$6:$B$55,MATCH(LARGE(Obliczenia!$AA$6:$AA$55,21),Obliczenia!$AA$6:$AA$55,0)),"")</x:f>
      </x:c>
      <x:c r="C26" s="17" t="str">
        <x:f>IF(B26="","",INDEX(Obliczenia!$C$6:$C$55,MATCH(B26,Obliczenia!$B$6:$B$55,0)))</x:f>
      </x:c>
      <x:c r="D26" s="28" t="str">
        <x:f>IF(B26="","",INDEX(Obliczenia!$D$6:$D$55,MATCH(B26,Obliczenia!$B$6:$B$55,0)))</x:f>
      </x:c>
      <x:c r="E26" s="28" t="str">
        <x:f>IF(B26="","",INDEX(Obliczenia!$E$6:$E$55,MATCH(B26,Obliczenia!$B$6:$B$55,0)))</x:f>
      </x:c>
      <x:c r="F26" s="28" t="str">
        <x:f>IF(B26="","",INDEX(Obliczenia!$F$6:$F$55,MATCH(B26,Obliczenia!$B$6:$B$55,0)))</x:f>
      </x:c>
      <x:c r="G26" s="28" t="str">
        <x:f>IF(B26="","",INDEX(Obliczenia!$G$6:$G$55,MATCH(B26,Obliczenia!$B$6:$B$55,0)))</x:f>
      </x:c>
      <x:c r="H26" s="28" t="str">
        <x:f>IF(B26="","",INDEX(Obliczenia!$H$6:$H$55,MATCH(B26,Obliczenia!$B$6:$B$55,0)))</x:f>
      </x:c>
      <x:c r="I26" s="28" t="str">
        <x:f>IF(B26="","",INDEX(Obliczenia!$I$6:$I$55,MATCH(B26,Obliczenia!$B$6:$B$55,0)))</x:f>
      </x:c>
      <x:c r="J26" s="28" t="str">
        <x:f>IF(B26="","",INDEX(Obliczenia!$J$6:$J$55,MATCH(B26,Obliczenia!$B$6:$B$55,0)))</x:f>
      </x:c>
      <x:c r="K26" s="28" t="str">
        <x:f>IF(B26="","",INDEX(Obliczenia!$K$6:$K$55,MATCH(B26,Obliczenia!$B$6:$B$55,0)))</x:f>
      </x:c>
      <x:c r="L26" s="28" t="str">
        <x:f>IF(B26="","",INDEX(Obliczenia!$L$6:$L$55,MATCH(B26,Obliczenia!$B$6:$B$55,0)))</x:f>
      </x:c>
      <x:c r="M26" s="28" t="str">
        <x:f>IF(B26="","",INDEX(Obliczenia!$M$6:$M$55,MATCH(B26,Obliczenia!$B$6:$B$55,0)))</x:f>
      </x:c>
      <x:c r="N26" s="28" t="str">
        <x:f>IF(B26="","",INDEX(Obliczenia!$N$6:$N$55,MATCH(B26,Obliczenia!$B$6:$B$55,0)))</x:f>
      </x:c>
      <x:c r="O26" s="28" t="str">
        <x:f>IF(B26="","",INDEX(Obliczenia!$O$6:$O$55,MATCH(B26,Obliczenia!$B$6:$B$55,0)))</x:f>
      </x:c>
      <x:c r="P26" s="28" t="str">
        <x:f>IF(B26="","",INDEX(Obliczenia!$P$6:$P$55,MATCH(B26,Obliczenia!$B$6:$B$55,0)))</x:f>
      </x:c>
      <x:c r="Q26" s="28" t="str">
        <x:f>IF(B26="","",INDEX(Obliczenia!$Q$6:$Q$55,MATCH(B26,Obliczenia!$B$6:$B$55,0)))</x:f>
      </x:c>
      <x:c r="R26" s="28" t="str">
        <x:f>IF(B26="","",INDEX(Obliczenia!$R$6:$R$55,MATCH(B26,Obliczenia!$B$6:$B$55,0)))</x:f>
      </x:c>
      <x:c r="S26" s="28" t="str">
        <x:f>IF(B26="","",INDEX(Obliczenia!$S$6:$S$55,MATCH(B26,Obliczenia!$B$6:$B$55,0)))</x:f>
      </x:c>
      <x:c r="T26" s="28" t="str">
        <x:f>IF(B26="","",INDEX(Obliczenia!$T$6:$T$55,MATCH(B26,Obliczenia!$B$6:$B$55,0)))</x:f>
      </x:c>
      <x:c r="U26" s="28" t="str">
        <x:f>IF(B26="","",INDEX(Obliczenia!$U$6:$U$55,MATCH(B26,Obliczenia!$B$6:$B$55,0)))</x:f>
      </x:c>
      <x:c r="V26" s="28" t="str">
        <x:f>IF(B26="","",INDEX(Obliczenia!$V$6:$V$55,MATCH(B26,Obliczenia!$B$6:$B$55,0)))</x:f>
      </x:c>
      <x:c r="W26" s="28" t="str">
        <x:f>IF(B26="","",INDEX(Obliczenia!$W$6:$W$55,MATCH(B26,Obliczenia!$B$6:$B$55,0)))</x:f>
      </x:c>
      <x:c r="X26" s="17" t="str">
        <x:f>IF(B26="","",INDEX(Obliczenia!$X$6:$X$55,MATCH(B26,Obliczenia!$B$6:$B$55,0)))</x:f>
      </x:c>
      <x:c r="Y26" s="29" t="str">
        <x:f>IF(B26="","",INDEX(Obliczenia!$Y$6:$Y$55,MATCH(B26,Obliczenia!$B$6:$B$55,0)))</x:f>
      </x:c>
      <x:c r="Z26" s="30" t="str">
        <x:f>IF(B26="","",INDEX(Obliczenia!$Z$6:$Z$55,MATCH(B26,Obliczenia!$B$6:$B$55,0)))</x:f>
      </x:c>
    </x:row>
    <x:row r="27">
      <x:c r="A27" s="33" t="str">
        <x:f>IF(B27="","",1+COUNTIF($Y$6:$Y$55,"&gt;"&amp;Y27))</x:f>
      </x:c>
      <x:c r="B27" s="17" t="str">
        <x:f>IFERROR(INDEX(Obliczenia!$B$6:$B$55,MATCH(LARGE(Obliczenia!$AA$6:$AA$55,22),Obliczenia!$AA$6:$AA$55,0)),"")</x:f>
      </x:c>
      <x:c r="C27" s="17" t="str">
        <x:f>IF(B27="","",INDEX(Obliczenia!$C$6:$C$55,MATCH(B27,Obliczenia!$B$6:$B$55,0)))</x:f>
      </x:c>
      <x:c r="D27" s="28" t="str">
        <x:f>IF(B27="","",INDEX(Obliczenia!$D$6:$D$55,MATCH(B27,Obliczenia!$B$6:$B$55,0)))</x:f>
      </x:c>
      <x:c r="E27" s="28" t="str">
        <x:f>IF(B27="","",INDEX(Obliczenia!$E$6:$E$55,MATCH(B27,Obliczenia!$B$6:$B$55,0)))</x:f>
      </x:c>
      <x:c r="F27" s="28" t="str">
        <x:f>IF(B27="","",INDEX(Obliczenia!$F$6:$F$55,MATCH(B27,Obliczenia!$B$6:$B$55,0)))</x:f>
      </x:c>
      <x:c r="G27" s="28" t="str">
        <x:f>IF(B27="","",INDEX(Obliczenia!$G$6:$G$55,MATCH(B27,Obliczenia!$B$6:$B$55,0)))</x:f>
      </x:c>
      <x:c r="H27" s="28" t="str">
        <x:f>IF(B27="","",INDEX(Obliczenia!$H$6:$H$55,MATCH(B27,Obliczenia!$B$6:$B$55,0)))</x:f>
      </x:c>
      <x:c r="I27" s="28" t="str">
        <x:f>IF(B27="","",INDEX(Obliczenia!$I$6:$I$55,MATCH(B27,Obliczenia!$B$6:$B$55,0)))</x:f>
      </x:c>
      <x:c r="J27" s="28" t="str">
        <x:f>IF(B27="","",INDEX(Obliczenia!$J$6:$J$55,MATCH(B27,Obliczenia!$B$6:$B$55,0)))</x:f>
      </x:c>
      <x:c r="K27" s="28" t="str">
        <x:f>IF(B27="","",INDEX(Obliczenia!$K$6:$K$55,MATCH(B27,Obliczenia!$B$6:$B$55,0)))</x:f>
      </x:c>
      <x:c r="L27" s="28" t="str">
        <x:f>IF(B27="","",INDEX(Obliczenia!$L$6:$L$55,MATCH(B27,Obliczenia!$B$6:$B$55,0)))</x:f>
      </x:c>
      <x:c r="M27" s="28" t="str">
        <x:f>IF(B27="","",INDEX(Obliczenia!$M$6:$M$55,MATCH(B27,Obliczenia!$B$6:$B$55,0)))</x:f>
      </x:c>
      <x:c r="N27" s="28" t="str">
        <x:f>IF(B27="","",INDEX(Obliczenia!$N$6:$N$55,MATCH(B27,Obliczenia!$B$6:$B$55,0)))</x:f>
      </x:c>
      <x:c r="O27" s="28" t="str">
        <x:f>IF(B27="","",INDEX(Obliczenia!$O$6:$O$55,MATCH(B27,Obliczenia!$B$6:$B$55,0)))</x:f>
      </x:c>
      <x:c r="P27" s="28" t="str">
        <x:f>IF(B27="","",INDEX(Obliczenia!$P$6:$P$55,MATCH(B27,Obliczenia!$B$6:$B$55,0)))</x:f>
      </x:c>
      <x:c r="Q27" s="28" t="str">
        <x:f>IF(B27="","",INDEX(Obliczenia!$Q$6:$Q$55,MATCH(B27,Obliczenia!$B$6:$B$55,0)))</x:f>
      </x:c>
      <x:c r="R27" s="28" t="str">
        <x:f>IF(B27="","",INDEX(Obliczenia!$R$6:$R$55,MATCH(B27,Obliczenia!$B$6:$B$55,0)))</x:f>
      </x:c>
      <x:c r="S27" s="28" t="str">
        <x:f>IF(B27="","",INDEX(Obliczenia!$S$6:$S$55,MATCH(B27,Obliczenia!$B$6:$B$55,0)))</x:f>
      </x:c>
      <x:c r="T27" s="28" t="str">
        <x:f>IF(B27="","",INDEX(Obliczenia!$T$6:$T$55,MATCH(B27,Obliczenia!$B$6:$B$55,0)))</x:f>
      </x:c>
      <x:c r="U27" s="28" t="str">
        <x:f>IF(B27="","",INDEX(Obliczenia!$U$6:$U$55,MATCH(B27,Obliczenia!$B$6:$B$55,0)))</x:f>
      </x:c>
      <x:c r="V27" s="28" t="str">
        <x:f>IF(B27="","",INDEX(Obliczenia!$V$6:$V$55,MATCH(B27,Obliczenia!$B$6:$B$55,0)))</x:f>
      </x:c>
      <x:c r="W27" s="28" t="str">
        <x:f>IF(B27="","",INDEX(Obliczenia!$W$6:$W$55,MATCH(B27,Obliczenia!$B$6:$B$55,0)))</x:f>
      </x:c>
      <x:c r="X27" s="17" t="str">
        <x:f>IF(B27="","",INDEX(Obliczenia!$X$6:$X$55,MATCH(B27,Obliczenia!$B$6:$B$55,0)))</x:f>
      </x:c>
      <x:c r="Y27" s="29" t="str">
        <x:f>IF(B27="","",INDEX(Obliczenia!$Y$6:$Y$55,MATCH(B27,Obliczenia!$B$6:$B$55,0)))</x:f>
      </x:c>
      <x:c r="Z27" s="30" t="str">
        <x:f>IF(B27="","",INDEX(Obliczenia!$Z$6:$Z$55,MATCH(B27,Obliczenia!$B$6:$B$55,0)))</x:f>
      </x:c>
    </x:row>
    <x:row r="28">
      <x:c r="A28" s="33" t="str">
        <x:f>IF(B28="","",1+COUNTIF($Y$6:$Y$55,"&gt;"&amp;Y28))</x:f>
      </x:c>
      <x:c r="B28" s="17" t="str">
        <x:f>IFERROR(INDEX(Obliczenia!$B$6:$B$55,MATCH(LARGE(Obliczenia!$AA$6:$AA$55,23),Obliczenia!$AA$6:$AA$55,0)),"")</x:f>
      </x:c>
      <x:c r="C28" s="17" t="str">
        <x:f>IF(B28="","",INDEX(Obliczenia!$C$6:$C$55,MATCH(B28,Obliczenia!$B$6:$B$55,0)))</x:f>
      </x:c>
      <x:c r="D28" s="28" t="str">
        <x:f>IF(B28="","",INDEX(Obliczenia!$D$6:$D$55,MATCH(B28,Obliczenia!$B$6:$B$55,0)))</x:f>
      </x:c>
      <x:c r="E28" s="28" t="str">
        <x:f>IF(B28="","",INDEX(Obliczenia!$E$6:$E$55,MATCH(B28,Obliczenia!$B$6:$B$55,0)))</x:f>
      </x:c>
      <x:c r="F28" s="28" t="str">
        <x:f>IF(B28="","",INDEX(Obliczenia!$F$6:$F$55,MATCH(B28,Obliczenia!$B$6:$B$55,0)))</x:f>
      </x:c>
      <x:c r="G28" s="28" t="str">
        <x:f>IF(B28="","",INDEX(Obliczenia!$G$6:$G$55,MATCH(B28,Obliczenia!$B$6:$B$55,0)))</x:f>
      </x:c>
      <x:c r="H28" s="28" t="str">
        <x:f>IF(B28="","",INDEX(Obliczenia!$H$6:$H$55,MATCH(B28,Obliczenia!$B$6:$B$55,0)))</x:f>
      </x:c>
      <x:c r="I28" s="28" t="str">
        <x:f>IF(B28="","",INDEX(Obliczenia!$I$6:$I$55,MATCH(B28,Obliczenia!$B$6:$B$55,0)))</x:f>
      </x:c>
      <x:c r="J28" s="28" t="str">
        <x:f>IF(B28="","",INDEX(Obliczenia!$J$6:$J$55,MATCH(B28,Obliczenia!$B$6:$B$55,0)))</x:f>
      </x:c>
      <x:c r="K28" s="28" t="str">
        <x:f>IF(B28="","",INDEX(Obliczenia!$K$6:$K$55,MATCH(B28,Obliczenia!$B$6:$B$55,0)))</x:f>
      </x:c>
      <x:c r="L28" s="28" t="str">
        <x:f>IF(B28="","",INDEX(Obliczenia!$L$6:$L$55,MATCH(B28,Obliczenia!$B$6:$B$55,0)))</x:f>
      </x:c>
      <x:c r="M28" s="28" t="str">
        <x:f>IF(B28="","",INDEX(Obliczenia!$M$6:$M$55,MATCH(B28,Obliczenia!$B$6:$B$55,0)))</x:f>
      </x:c>
      <x:c r="N28" s="28" t="str">
        <x:f>IF(B28="","",INDEX(Obliczenia!$N$6:$N$55,MATCH(B28,Obliczenia!$B$6:$B$55,0)))</x:f>
      </x:c>
      <x:c r="O28" s="28" t="str">
        <x:f>IF(B28="","",INDEX(Obliczenia!$O$6:$O$55,MATCH(B28,Obliczenia!$B$6:$B$55,0)))</x:f>
      </x:c>
      <x:c r="P28" s="28" t="str">
        <x:f>IF(B28="","",INDEX(Obliczenia!$P$6:$P$55,MATCH(B28,Obliczenia!$B$6:$B$55,0)))</x:f>
      </x:c>
      <x:c r="Q28" s="28" t="str">
        <x:f>IF(B28="","",INDEX(Obliczenia!$Q$6:$Q$55,MATCH(B28,Obliczenia!$B$6:$B$55,0)))</x:f>
      </x:c>
      <x:c r="R28" s="28" t="str">
        <x:f>IF(B28="","",INDEX(Obliczenia!$R$6:$R$55,MATCH(B28,Obliczenia!$B$6:$B$55,0)))</x:f>
      </x:c>
      <x:c r="S28" s="28" t="str">
        <x:f>IF(B28="","",INDEX(Obliczenia!$S$6:$S$55,MATCH(B28,Obliczenia!$B$6:$B$55,0)))</x:f>
      </x:c>
      <x:c r="T28" s="28" t="str">
        <x:f>IF(B28="","",INDEX(Obliczenia!$T$6:$T$55,MATCH(B28,Obliczenia!$B$6:$B$55,0)))</x:f>
      </x:c>
      <x:c r="U28" s="28" t="str">
        <x:f>IF(B28="","",INDEX(Obliczenia!$U$6:$U$55,MATCH(B28,Obliczenia!$B$6:$B$55,0)))</x:f>
      </x:c>
      <x:c r="V28" s="28" t="str">
        <x:f>IF(B28="","",INDEX(Obliczenia!$V$6:$V$55,MATCH(B28,Obliczenia!$B$6:$B$55,0)))</x:f>
      </x:c>
      <x:c r="W28" s="28" t="str">
        <x:f>IF(B28="","",INDEX(Obliczenia!$W$6:$W$55,MATCH(B28,Obliczenia!$B$6:$B$55,0)))</x:f>
      </x:c>
      <x:c r="X28" s="17" t="str">
        <x:f>IF(B28="","",INDEX(Obliczenia!$X$6:$X$55,MATCH(B28,Obliczenia!$B$6:$B$55,0)))</x:f>
      </x:c>
      <x:c r="Y28" s="29" t="str">
        <x:f>IF(B28="","",INDEX(Obliczenia!$Y$6:$Y$55,MATCH(B28,Obliczenia!$B$6:$B$55,0)))</x:f>
      </x:c>
      <x:c r="Z28" s="30" t="str">
        <x:f>IF(B28="","",INDEX(Obliczenia!$Z$6:$Z$55,MATCH(B28,Obliczenia!$B$6:$B$55,0)))</x:f>
      </x:c>
    </x:row>
    <x:row r="29">
      <x:c r="A29" s="33" t="str">
        <x:f>IF(B29="","",1+COUNTIF($Y$6:$Y$55,"&gt;"&amp;Y29))</x:f>
      </x:c>
      <x:c r="B29" s="17" t="str">
        <x:f>IFERROR(INDEX(Obliczenia!$B$6:$B$55,MATCH(LARGE(Obliczenia!$AA$6:$AA$55,24),Obliczenia!$AA$6:$AA$55,0)),"")</x:f>
      </x:c>
      <x:c r="C29" s="17" t="str">
        <x:f>IF(B29="","",INDEX(Obliczenia!$C$6:$C$55,MATCH(B29,Obliczenia!$B$6:$B$55,0)))</x:f>
      </x:c>
      <x:c r="D29" s="28" t="str">
        <x:f>IF(B29="","",INDEX(Obliczenia!$D$6:$D$55,MATCH(B29,Obliczenia!$B$6:$B$55,0)))</x:f>
      </x:c>
      <x:c r="E29" s="28" t="str">
        <x:f>IF(B29="","",INDEX(Obliczenia!$E$6:$E$55,MATCH(B29,Obliczenia!$B$6:$B$55,0)))</x:f>
      </x:c>
      <x:c r="F29" s="28" t="str">
        <x:f>IF(B29="","",INDEX(Obliczenia!$F$6:$F$55,MATCH(B29,Obliczenia!$B$6:$B$55,0)))</x:f>
      </x:c>
      <x:c r="G29" s="28" t="str">
        <x:f>IF(B29="","",INDEX(Obliczenia!$G$6:$G$55,MATCH(B29,Obliczenia!$B$6:$B$55,0)))</x:f>
      </x:c>
      <x:c r="H29" s="28" t="str">
        <x:f>IF(B29="","",INDEX(Obliczenia!$H$6:$H$55,MATCH(B29,Obliczenia!$B$6:$B$55,0)))</x:f>
      </x:c>
      <x:c r="I29" s="28" t="str">
        <x:f>IF(B29="","",INDEX(Obliczenia!$I$6:$I$55,MATCH(B29,Obliczenia!$B$6:$B$55,0)))</x:f>
      </x:c>
      <x:c r="J29" s="28" t="str">
        <x:f>IF(B29="","",INDEX(Obliczenia!$J$6:$J$55,MATCH(B29,Obliczenia!$B$6:$B$55,0)))</x:f>
      </x:c>
      <x:c r="K29" s="28" t="str">
        <x:f>IF(B29="","",INDEX(Obliczenia!$K$6:$K$55,MATCH(B29,Obliczenia!$B$6:$B$55,0)))</x:f>
      </x:c>
      <x:c r="L29" s="28" t="str">
        <x:f>IF(B29="","",INDEX(Obliczenia!$L$6:$L$55,MATCH(B29,Obliczenia!$B$6:$B$55,0)))</x:f>
      </x:c>
      <x:c r="M29" s="28" t="str">
        <x:f>IF(B29="","",INDEX(Obliczenia!$M$6:$M$55,MATCH(B29,Obliczenia!$B$6:$B$55,0)))</x:f>
      </x:c>
      <x:c r="N29" s="28" t="str">
        <x:f>IF(B29="","",INDEX(Obliczenia!$N$6:$N$55,MATCH(B29,Obliczenia!$B$6:$B$55,0)))</x:f>
      </x:c>
      <x:c r="O29" s="28" t="str">
        <x:f>IF(B29="","",INDEX(Obliczenia!$O$6:$O$55,MATCH(B29,Obliczenia!$B$6:$B$55,0)))</x:f>
      </x:c>
      <x:c r="P29" s="28" t="str">
        <x:f>IF(B29="","",INDEX(Obliczenia!$P$6:$P$55,MATCH(B29,Obliczenia!$B$6:$B$55,0)))</x:f>
      </x:c>
      <x:c r="Q29" s="28" t="str">
        <x:f>IF(B29="","",INDEX(Obliczenia!$Q$6:$Q$55,MATCH(B29,Obliczenia!$B$6:$B$55,0)))</x:f>
      </x:c>
      <x:c r="R29" s="28" t="str">
        <x:f>IF(B29="","",INDEX(Obliczenia!$R$6:$R$55,MATCH(B29,Obliczenia!$B$6:$B$55,0)))</x:f>
      </x:c>
      <x:c r="S29" s="28" t="str">
        <x:f>IF(B29="","",INDEX(Obliczenia!$S$6:$S$55,MATCH(B29,Obliczenia!$B$6:$B$55,0)))</x:f>
      </x:c>
      <x:c r="T29" s="28" t="str">
        <x:f>IF(B29="","",INDEX(Obliczenia!$T$6:$T$55,MATCH(B29,Obliczenia!$B$6:$B$55,0)))</x:f>
      </x:c>
      <x:c r="U29" s="28" t="str">
        <x:f>IF(B29="","",INDEX(Obliczenia!$U$6:$U$55,MATCH(B29,Obliczenia!$B$6:$B$55,0)))</x:f>
      </x:c>
      <x:c r="V29" s="28" t="str">
        <x:f>IF(B29="","",INDEX(Obliczenia!$V$6:$V$55,MATCH(B29,Obliczenia!$B$6:$B$55,0)))</x:f>
      </x:c>
      <x:c r="W29" s="28" t="str">
        <x:f>IF(B29="","",INDEX(Obliczenia!$W$6:$W$55,MATCH(B29,Obliczenia!$B$6:$B$55,0)))</x:f>
      </x:c>
      <x:c r="X29" s="17" t="str">
        <x:f>IF(B29="","",INDEX(Obliczenia!$X$6:$X$55,MATCH(B29,Obliczenia!$B$6:$B$55,0)))</x:f>
      </x:c>
      <x:c r="Y29" s="29" t="str">
        <x:f>IF(B29="","",INDEX(Obliczenia!$Y$6:$Y$55,MATCH(B29,Obliczenia!$B$6:$B$55,0)))</x:f>
      </x:c>
      <x:c r="Z29" s="30" t="str">
        <x:f>IF(B29="","",INDEX(Obliczenia!$Z$6:$Z$55,MATCH(B29,Obliczenia!$B$6:$B$55,0)))</x:f>
      </x:c>
    </x:row>
    <x:row r="30">
      <x:c r="A30" s="33" t="str">
        <x:f>IF(B30="","",1+COUNTIF($Y$6:$Y$55,"&gt;"&amp;Y30))</x:f>
      </x:c>
      <x:c r="B30" s="17" t="str">
        <x:f>IFERROR(INDEX(Obliczenia!$B$6:$B$55,MATCH(LARGE(Obliczenia!$AA$6:$AA$55,25),Obliczenia!$AA$6:$AA$55,0)),"")</x:f>
      </x:c>
      <x:c r="C30" s="17" t="str">
        <x:f>IF(B30="","",INDEX(Obliczenia!$C$6:$C$55,MATCH(B30,Obliczenia!$B$6:$B$55,0)))</x:f>
      </x:c>
      <x:c r="D30" s="28" t="str">
        <x:f>IF(B30="","",INDEX(Obliczenia!$D$6:$D$55,MATCH(B30,Obliczenia!$B$6:$B$55,0)))</x:f>
      </x:c>
      <x:c r="E30" s="28" t="str">
        <x:f>IF(B30="","",INDEX(Obliczenia!$E$6:$E$55,MATCH(B30,Obliczenia!$B$6:$B$55,0)))</x:f>
      </x:c>
      <x:c r="F30" s="28" t="str">
        <x:f>IF(B30="","",INDEX(Obliczenia!$F$6:$F$55,MATCH(B30,Obliczenia!$B$6:$B$55,0)))</x:f>
      </x:c>
      <x:c r="G30" s="28" t="str">
        <x:f>IF(B30="","",INDEX(Obliczenia!$G$6:$G$55,MATCH(B30,Obliczenia!$B$6:$B$55,0)))</x:f>
      </x:c>
      <x:c r="H30" s="28" t="str">
        <x:f>IF(B30="","",INDEX(Obliczenia!$H$6:$H$55,MATCH(B30,Obliczenia!$B$6:$B$55,0)))</x:f>
      </x:c>
      <x:c r="I30" s="28" t="str">
        <x:f>IF(B30="","",INDEX(Obliczenia!$I$6:$I$55,MATCH(B30,Obliczenia!$B$6:$B$55,0)))</x:f>
      </x:c>
      <x:c r="J30" s="28" t="str">
        <x:f>IF(B30="","",INDEX(Obliczenia!$J$6:$J$55,MATCH(B30,Obliczenia!$B$6:$B$55,0)))</x:f>
      </x:c>
      <x:c r="K30" s="28" t="str">
        <x:f>IF(B30="","",INDEX(Obliczenia!$K$6:$K$55,MATCH(B30,Obliczenia!$B$6:$B$55,0)))</x:f>
      </x:c>
      <x:c r="L30" s="28" t="str">
        <x:f>IF(B30="","",INDEX(Obliczenia!$L$6:$L$55,MATCH(B30,Obliczenia!$B$6:$B$55,0)))</x:f>
      </x:c>
      <x:c r="M30" s="28" t="str">
        <x:f>IF(B30="","",INDEX(Obliczenia!$M$6:$M$55,MATCH(B30,Obliczenia!$B$6:$B$55,0)))</x:f>
      </x:c>
      <x:c r="N30" s="28" t="str">
        <x:f>IF(B30="","",INDEX(Obliczenia!$N$6:$N$55,MATCH(B30,Obliczenia!$B$6:$B$55,0)))</x:f>
      </x:c>
      <x:c r="O30" s="28" t="str">
        <x:f>IF(B30="","",INDEX(Obliczenia!$O$6:$O$55,MATCH(B30,Obliczenia!$B$6:$B$55,0)))</x:f>
      </x:c>
      <x:c r="P30" s="28" t="str">
        <x:f>IF(B30="","",INDEX(Obliczenia!$P$6:$P$55,MATCH(B30,Obliczenia!$B$6:$B$55,0)))</x:f>
      </x:c>
      <x:c r="Q30" s="28" t="str">
        <x:f>IF(B30="","",INDEX(Obliczenia!$Q$6:$Q$55,MATCH(B30,Obliczenia!$B$6:$B$55,0)))</x:f>
      </x:c>
      <x:c r="R30" s="28" t="str">
        <x:f>IF(B30="","",INDEX(Obliczenia!$R$6:$R$55,MATCH(B30,Obliczenia!$B$6:$B$55,0)))</x:f>
      </x:c>
      <x:c r="S30" s="28" t="str">
        <x:f>IF(B30="","",INDEX(Obliczenia!$S$6:$S$55,MATCH(B30,Obliczenia!$B$6:$B$55,0)))</x:f>
      </x:c>
      <x:c r="T30" s="28" t="str">
        <x:f>IF(B30="","",INDEX(Obliczenia!$T$6:$T$55,MATCH(B30,Obliczenia!$B$6:$B$55,0)))</x:f>
      </x:c>
      <x:c r="U30" s="28" t="str">
        <x:f>IF(B30="","",INDEX(Obliczenia!$U$6:$U$55,MATCH(B30,Obliczenia!$B$6:$B$55,0)))</x:f>
      </x:c>
      <x:c r="V30" s="28" t="str">
        <x:f>IF(B30="","",INDEX(Obliczenia!$V$6:$V$55,MATCH(B30,Obliczenia!$B$6:$B$55,0)))</x:f>
      </x:c>
      <x:c r="W30" s="28" t="str">
        <x:f>IF(B30="","",INDEX(Obliczenia!$W$6:$W$55,MATCH(B30,Obliczenia!$B$6:$B$55,0)))</x:f>
      </x:c>
      <x:c r="X30" s="17" t="str">
        <x:f>IF(B30="","",INDEX(Obliczenia!$X$6:$X$55,MATCH(B30,Obliczenia!$B$6:$B$55,0)))</x:f>
      </x:c>
      <x:c r="Y30" s="29" t="str">
        <x:f>IF(B30="","",INDEX(Obliczenia!$Y$6:$Y$55,MATCH(B30,Obliczenia!$B$6:$B$55,0)))</x:f>
      </x:c>
      <x:c r="Z30" s="30" t="str">
        <x:f>IF(B30="","",INDEX(Obliczenia!$Z$6:$Z$55,MATCH(B30,Obliczenia!$B$6:$B$55,0)))</x:f>
      </x:c>
    </x:row>
    <x:row r="31">
      <x:c r="A31" s="33" t="str">
        <x:f>IF(B31="","",1+COUNTIF($Y$6:$Y$55,"&gt;"&amp;Y31))</x:f>
      </x:c>
      <x:c r="B31" s="17" t="str">
        <x:f>IFERROR(INDEX(Obliczenia!$B$6:$B$55,MATCH(LARGE(Obliczenia!$AA$6:$AA$55,26),Obliczenia!$AA$6:$AA$55,0)),"")</x:f>
      </x:c>
      <x:c r="C31" s="17" t="str">
        <x:f>IF(B31="","",INDEX(Obliczenia!$C$6:$C$55,MATCH(B31,Obliczenia!$B$6:$B$55,0)))</x:f>
      </x:c>
      <x:c r="D31" s="28" t="str">
        <x:f>IF(B31="","",INDEX(Obliczenia!$D$6:$D$55,MATCH(B31,Obliczenia!$B$6:$B$55,0)))</x:f>
      </x:c>
      <x:c r="E31" s="28" t="str">
        <x:f>IF(B31="","",INDEX(Obliczenia!$E$6:$E$55,MATCH(B31,Obliczenia!$B$6:$B$55,0)))</x:f>
      </x:c>
      <x:c r="F31" s="28" t="str">
        <x:f>IF(B31="","",INDEX(Obliczenia!$F$6:$F$55,MATCH(B31,Obliczenia!$B$6:$B$55,0)))</x:f>
      </x:c>
      <x:c r="G31" s="28" t="str">
        <x:f>IF(B31="","",INDEX(Obliczenia!$G$6:$G$55,MATCH(B31,Obliczenia!$B$6:$B$55,0)))</x:f>
      </x:c>
      <x:c r="H31" s="28" t="str">
        <x:f>IF(B31="","",INDEX(Obliczenia!$H$6:$H$55,MATCH(B31,Obliczenia!$B$6:$B$55,0)))</x:f>
      </x:c>
      <x:c r="I31" s="28" t="str">
        <x:f>IF(B31="","",INDEX(Obliczenia!$I$6:$I$55,MATCH(B31,Obliczenia!$B$6:$B$55,0)))</x:f>
      </x:c>
      <x:c r="J31" s="28" t="str">
        <x:f>IF(B31="","",INDEX(Obliczenia!$J$6:$J$55,MATCH(B31,Obliczenia!$B$6:$B$55,0)))</x:f>
      </x:c>
      <x:c r="K31" s="28" t="str">
        <x:f>IF(B31="","",INDEX(Obliczenia!$K$6:$K$55,MATCH(B31,Obliczenia!$B$6:$B$55,0)))</x:f>
      </x:c>
      <x:c r="L31" s="28" t="str">
        <x:f>IF(B31="","",INDEX(Obliczenia!$L$6:$L$55,MATCH(B31,Obliczenia!$B$6:$B$55,0)))</x:f>
      </x:c>
      <x:c r="M31" s="28" t="str">
        <x:f>IF(B31="","",INDEX(Obliczenia!$M$6:$M$55,MATCH(B31,Obliczenia!$B$6:$B$55,0)))</x:f>
      </x:c>
      <x:c r="N31" s="28" t="str">
        <x:f>IF(B31="","",INDEX(Obliczenia!$N$6:$N$55,MATCH(B31,Obliczenia!$B$6:$B$55,0)))</x:f>
      </x:c>
      <x:c r="O31" s="28" t="str">
        <x:f>IF(B31="","",INDEX(Obliczenia!$O$6:$O$55,MATCH(B31,Obliczenia!$B$6:$B$55,0)))</x:f>
      </x:c>
      <x:c r="P31" s="28" t="str">
        <x:f>IF(B31="","",INDEX(Obliczenia!$P$6:$P$55,MATCH(B31,Obliczenia!$B$6:$B$55,0)))</x:f>
      </x:c>
      <x:c r="Q31" s="28" t="str">
        <x:f>IF(B31="","",INDEX(Obliczenia!$Q$6:$Q$55,MATCH(B31,Obliczenia!$B$6:$B$55,0)))</x:f>
      </x:c>
      <x:c r="R31" s="28" t="str">
        <x:f>IF(B31="","",INDEX(Obliczenia!$R$6:$R$55,MATCH(B31,Obliczenia!$B$6:$B$55,0)))</x:f>
      </x:c>
      <x:c r="S31" s="28" t="str">
        <x:f>IF(B31="","",INDEX(Obliczenia!$S$6:$S$55,MATCH(B31,Obliczenia!$B$6:$B$55,0)))</x:f>
      </x:c>
      <x:c r="T31" s="28" t="str">
        <x:f>IF(B31="","",INDEX(Obliczenia!$T$6:$T$55,MATCH(B31,Obliczenia!$B$6:$B$55,0)))</x:f>
      </x:c>
      <x:c r="U31" s="28" t="str">
        <x:f>IF(B31="","",INDEX(Obliczenia!$U$6:$U$55,MATCH(B31,Obliczenia!$B$6:$B$55,0)))</x:f>
      </x:c>
      <x:c r="V31" s="28" t="str">
        <x:f>IF(B31="","",INDEX(Obliczenia!$V$6:$V$55,MATCH(B31,Obliczenia!$B$6:$B$55,0)))</x:f>
      </x:c>
      <x:c r="W31" s="28" t="str">
        <x:f>IF(B31="","",INDEX(Obliczenia!$W$6:$W$55,MATCH(B31,Obliczenia!$B$6:$B$55,0)))</x:f>
      </x:c>
      <x:c r="X31" s="17" t="str">
        <x:f>IF(B31="","",INDEX(Obliczenia!$X$6:$X$55,MATCH(B31,Obliczenia!$B$6:$B$55,0)))</x:f>
      </x:c>
      <x:c r="Y31" s="29" t="str">
        <x:f>IF(B31="","",INDEX(Obliczenia!$Y$6:$Y$55,MATCH(B31,Obliczenia!$B$6:$B$55,0)))</x:f>
      </x:c>
      <x:c r="Z31" s="30" t="str">
        <x:f>IF(B31="","",INDEX(Obliczenia!$Z$6:$Z$55,MATCH(B31,Obliczenia!$B$6:$B$55,0)))</x:f>
      </x:c>
    </x:row>
    <x:row r="32">
      <x:c r="A32" s="33" t="str">
        <x:f>IF(B32="","",1+COUNTIF($Y$6:$Y$55,"&gt;"&amp;Y32))</x:f>
      </x:c>
      <x:c r="B32" s="17" t="str">
        <x:f>IFERROR(INDEX(Obliczenia!$B$6:$B$55,MATCH(LARGE(Obliczenia!$AA$6:$AA$55,27),Obliczenia!$AA$6:$AA$55,0)),"")</x:f>
      </x:c>
      <x:c r="C32" s="17" t="str">
        <x:f>IF(B32="","",INDEX(Obliczenia!$C$6:$C$55,MATCH(B32,Obliczenia!$B$6:$B$55,0)))</x:f>
      </x:c>
      <x:c r="D32" s="28" t="str">
        <x:f>IF(B32="","",INDEX(Obliczenia!$D$6:$D$55,MATCH(B32,Obliczenia!$B$6:$B$55,0)))</x:f>
      </x:c>
      <x:c r="E32" s="28" t="str">
        <x:f>IF(B32="","",INDEX(Obliczenia!$E$6:$E$55,MATCH(B32,Obliczenia!$B$6:$B$55,0)))</x:f>
      </x:c>
      <x:c r="F32" s="28" t="str">
        <x:f>IF(B32="","",INDEX(Obliczenia!$F$6:$F$55,MATCH(B32,Obliczenia!$B$6:$B$55,0)))</x:f>
      </x:c>
      <x:c r="G32" s="28" t="str">
        <x:f>IF(B32="","",INDEX(Obliczenia!$G$6:$G$55,MATCH(B32,Obliczenia!$B$6:$B$55,0)))</x:f>
      </x:c>
      <x:c r="H32" s="28" t="str">
        <x:f>IF(B32="","",INDEX(Obliczenia!$H$6:$H$55,MATCH(B32,Obliczenia!$B$6:$B$55,0)))</x:f>
      </x:c>
      <x:c r="I32" s="28" t="str">
        <x:f>IF(B32="","",INDEX(Obliczenia!$I$6:$I$55,MATCH(B32,Obliczenia!$B$6:$B$55,0)))</x:f>
      </x:c>
      <x:c r="J32" s="28" t="str">
        <x:f>IF(B32="","",INDEX(Obliczenia!$J$6:$J$55,MATCH(B32,Obliczenia!$B$6:$B$55,0)))</x:f>
      </x:c>
      <x:c r="K32" s="28" t="str">
        <x:f>IF(B32="","",INDEX(Obliczenia!$K$6:$K$55,MATCH(B32,Obliczenia!$B$6:$B$55,0)))</x:f>
      </x:c>
      <x:c r="L32" s="28" t="str">
        <x:f>IF(B32="","",INDEX(Obliczenia!$L$6:$L$55,MATCH(B32,Obliczenia!$B$6:$B$55,0)))</x:f>
      </x:c>
      <x:c r="M32" s="28" t="str">
        <x:f>IF(B32="","",INDEX(Obliczenia!$M$6:$M$55,MATCH(B32,Obliczenia!$B$6:$B$55,0)))</x:f>
      </x:c>
      <x:c r="N32" s="28" t="str">
        <x:f>IF(B32="","",INDEX(Obliczenia!$N$6:$N$55,MATCH(B32,Obliczenia!$B$6:$B$55,0)))</x:f>
      </x:c>
      <x:c r="O32" s="28" t="str">
        <x:f>IF(B32="","",INDEX(Obliczenia!$O$6:$O$55,MATCH(B32,Obliczenia!$B$6:$B$55,0)))</x:f>
      </x:c>
      <x:c r="P32" s="28" t="str">
        <x:f>IF(B32="","",INDEX(Obliczenia!$P$6:$P$55,MATCH(B32,Obliczenia!$B$6:$B$55,0)))</x:f>
      </x:c>
      <x:c r="Q32" s="28" t="str">
        <x:f>IF(B32="","",INDEX(Obliczenia!$Q$6:$Q$55,MATCH(B32,Obliczenia!$B$6:$B$55,0)))</x:f>
      </x:c>
      <x:c r="R32" s="28" t="str">
        <x:f>IF(B32="","",INDEX(Obliczenia!$R$6:$R$55,MATCH(B32,Obliczenia!$B$6:$B$55,0)))</x:f>
      </x:c>
      <x:c r="S32" s="28" t="str">
        <x:f>IF(B32="","",INDEX(Obliczenia!$S$6:$S$55,MATCH(B32,Obliczenia!$B$6:$B$55,0)))</x:f>
      </x:c>
      <x:c r="T32" s="28" t="str">
        <x:f>IF(B32="","",INDEX(Obliczenia!$T$6:$T$55,MATCH(B32,Obliczenia!$B$6:$B$55,0)))</x:f>
      </x:c>
      <x:c r="U32" s="28" t="str">
        <x:f>IF(B32="","",INDEX(Obliczenia!$U$6:$U$55,MATCH(B32,Obliczenia!$B$6:$B$55,0)))</x:f>
      </x:c>
      <x:c r="V32" s="28" t="str">
        <x:f>IF(B32="","",INDEX(Obliczenia!$V$6:$V$55,MATCH(B32,Obliczenia!$B$6:$B$55,0)))</x:f>
      </x:c>
      <x:c r="W32" s="28" t="str">
        <x:f>IF(B32="","",INDEX(Obliczenia!$W$6:$W$55,MATCH(B32,Obliczenia!$B$6:$B$55,0)))</x:f>
      </x:c>
      <x:c r="X32" s="17" t="str">
        <x:f>IF(B32="","",INDEX(Obliczenia!$X$6:$X$55,MATCH(B32,Obliczenia!$B$6:$B$55,0)))</x:f>
      </x:c>
      <x:c r="Y32" s="29" t="str">
        <x:f>IF(B32="","",INDEX(Obliczenia!$Y$6:$Y$55,MATCH(B32,Obliczenia!$B$6:$B$55,0)))</x:f>
      </x:c>
      <x:c r="Z32" s="30" t="str">
        <x:f>IF(B32="","",INDEX(Obliczenia!$Z$6:$Z$55,MATCH(B32,Obliczenia!$B$6:$B$55,0)))</x:f>
      </x:c>
    </x:row>
    <x:row r="33">
      <x:c r="A33" s="33" t="str">
        <x:f>IF(B33="","",1+COUNTIF($Y$6:$Y$55,"&gt;"&amp;Y33))</x:f>
      </x:c>
      <x:c r="B33" s="17" t="str">
        <x:f>IFERROR(INDEX(Obliczenia!$B$6:$B$55,MATCH(LARGE(Obliczenia!$AA$6:$AA$55,28),Obliczenia!$AA$6:$AA$55,0)),"")</x:f>
      </x:c>
      <x:c r="C33" s="17" t="str">
        <x:f>IF(B33="","",INDEX(Obliczenia!$C$6:$C$55,MATCH(B33,Obliczenia!$B$6:$B$55,0)))</x:f>
      </x:c>
      <x:c r="D33" s="28" t="str">
        <x:f>IF(B33="","",INDEX(Obliczenia!$D$6:$D$55,MATCH(B33,Obliczenia!$B$6:$B$55,0)))</x:f>
      </x:c>
      <x:c r="E33" s="28" t="str">
        <x:f>IF(B33="","",INDEX(Obliczenia!$E$6:$E$55,MATCH(B33,Obliczenia!$B$6:$B$55,0)))</x:f>
      </x:c>
      <x:c r="F33" s="28" t="str">
        <x:f>IF(B33="","",INDEX(Obliczenia!$F$6:$F$55,MATCH(B33,Obliczenia!$B$6:$B$55,0)))</x:f>
      </x:c>
      <x:c r="G33" s="28" t="str">
        <x:f>IF(B33="","",INDEX(Obliczenia!$G$6:$G$55,MATCH(B33,Obliczenia!$B$6:$B$55,0)))</x:f>
      </x:c>
      <x:c r="H33" s="28" t="str">
        <x:f>IF(B33="","",INDEX(Obliczenia!$H$6:$H$55,MATCH(B33,Obliczenia!$B$6:$B$55,0)))</x:f>
      </x:c>
      <x:c r="I33" s="28" t="str">
        <x:f>IF(B33="","",INDEX(Obliczenia!$I$6:$I$55,MATCH(B33,Obliczenia!$B$6:$B$55,0)))</x:f>
      </x:c>
      <x:c r="J33" s="28" t="str">
        <x:f>IF(B33="","",INDEX(Obliczenia!$J$6:$J$55,MATCH(B33,Obliczenia!$B$6:$B$55,0)))</x:f>
      </x:c>
      <x:c r="K33" s="28" t="str">
        <x:f>IF(B33="","",INDEX(Obliczenia!$K$6:$K$55,MATCH(B33,Obliczenia!$B$6:$B$55,0)))</x:f>
      </x:c>
      <x:c r="L33" s="28" t="str">
        <x:f>IF(B33="","",INDEX(Obliczenia!$L$6:$L$55,MATCH(B33,Obliczenia!$B$6:$B$55,0)))</x:f>
      </x:c>
      <x:c r="M33" s="28" t="str">
        <x:f>IF(B33="","",INDEX(Obliczenia!$M$6:$M$55,MATCH(B33,Obliczenia!$B$6:$B$55,0)))</x:f>
      </x:c>
      <x:c r="N33" s="28" t="str">
        <x:f>IF(B33="","",INDEX(Obliczenia!$N$6:$N$55,MATCH(B33,Obliczenia!$B$6:$B$55,0)))</x:f>
      </x:c>
      <x:c r="O33" s="28" t="str">
        <x:f>IF(B33="","",INDEX(Obliczenia!$O$6:$O$55,MATCH(B33,Obliczenia!$B$6:$B$55,0)))</x:f>
      </x:c>
      <x:c r="P33" s="28" t="str">
        <x:f>IF(B33="","",INDEX(Obliczenia!$P$6:$P$55,MATCH(B33,Obliczenia!$B$6:$B$55,0)))</x:f>
      </x:c>
      <x:c r="Q33" s="28" t="str">
        <x:f>IF(B33="","",INDEX(Obliczenia!$Q$6:$Q$55,MATCH(B33,Obliczenia!$B$6:$B$55,0)))</x:f>
      </x:c>
      <x:c r="R33" s="28" t="str">
        <x:f>IF(B33="","",INDEX(Obliczenia!$R$6:$R$55,MATCH(B33,Obliczenia!$B$6:$B$55,0)))</x:f>
      </x:c>
      <x:c r="S33" s="28" t="str">
        <x:f>IF(B33="","",INDEX(Obliczenia!$S$6:$S$55,MATCH(B33,Obliczenia!$B$6:$B$55,0)))</x:f>
      </x:c>
      <x:c r="T33" s="28" t="str">
        <x:f>IF(B33="","",INDEX(Obliczenia!$T$6:$T$55,MATCH(B33,Obliczenia!$B$6:$B$55,0)))</x:f>
      </x:c>
      <x:c r="U33" s="28" t="str">
        <x:f>IF(B33="","",INDEX(Obliczenia!$U$6:$U$55,MATCH(B33,Obliczenia!$B$6:$B$55,0)))</x:f>
      </x:c>
      <x:c r="V33" s="28" t="str">
        <x:f>IF(B33="","",INDEX(Obliczenia!$V$6:$V$55,MATCH(B33,Obliczenia!$B$6:$B$55,0)))</x:f>
      </x:c>
      <x:c r="W33" s="28" t="str">
        <x:f>IF(B33="","",INDEX(Obliczenia!$W$6:$W$55,MATCH(B33,Obliczenia!$B$6:$B$55,0)))</x:f>
      </x:c>
      <x:c r="X33" s="17" t="str">
        <x:f>IF(B33="","",INDEX(Obliczenia!$X$6:$X$55,MATCH(B33,Obliczenia!$B$6:$B$55,0)))</x:f>
      </x:c>
      <x:c r="Y33" s="29" t="str">
        <x:f>IF(B33="","",INDEX(Obliczenia!$Y$6:$Y$55,MATCH(B33,Obliczenia!$B$6:$B$55,0)))</x:f>
      </x:c>
      <x:c r="Z33" s="30" t="str">
        <x:f>IF(B33="","",INDEX(Obliczenia!$Z$6:$Z$55,MATCH(B33,Obliczenia!$B$6:$B$55,0)))</x:f>
      </x:c>
    </x:row>
    <x:row r="34">
      <x:c r="A34" s="33" t="str">
        <x:f>IF(B34="","",1+COUNTIF($Y$6:$Y$55,"&gt;"&amp;Y34))</x:f>
      </x:c>
      <x:c r="B34" s="17" t="str">
        <x:f>IFERROR(INDEX(Obliczenia!$B$6:$B$55,MATCH(LARGE(Obliczenia!$AA$6:$AA$55,29),Obliczenia!$AA$6:$AA$55,0)),"")</x:f>
      </x:c>
      <x:c r="C34" s="17" t="str">
        <x:f>IF(B34="","",INDEX(Obliczenia!$C$6:$C$55,MATCH(B34,Obliczenia!$B$6:$B$55,0)))</x:f>
      </x:c>
      <x:c r="D34" s="28" t="str">
        <x:f>IF(B34="","",INDEX(Obliczenia!$D$6:$D$55,MATCH(B34,Obliczenia!$B$6:$B$55,0)))</x:f>
      </x:c>
      <x:c r="E34" s="28" t="str">
        <x:f>IF(B34="","",INDEX(Obliczenia!$E$6:$E$55,MATCH(B34,Obliczenia!$B$6:$B$55,0)))</x:f>
      </x:c>
      <x:c r="F34" s="28" t="str">
        <x:f>IF(B34="","",INDEX(Obliczenia!$F$6:$F$55,MATCH(B34,Obliczenia!$B$6:$B$55,0)))</x:f>
      </x:c>
      <x:c r="G34" s="28" t="str">
        <x:f>IF(B34="","",INDEX(Obliczenia!$G$6:$G$55,MATCH(B34,Obliczenia!$B$6:$B$55,0)))</x:f>
      </x:c>
      <x:c r="H34" s="28" t="str">
        <x:f>IF(B34="","",INDEX(Obliczenia!$H$6:$H$55,MATCH(B34,Obliczenia!$B$6:$B$55,0)))</x:f>
      </x:c>
      <x:c r="I34" s="28" t="str">
        <x:f>IF(B34="","",INDEX(Obliczenia!$I$6:$I$55,MATCH(B34,Obliczenia!$B$6:$B$55,0)))</x:f>
      </x:c>
      <x:c r="J34" s="28" t="str">
        <x:f>IF(B34="","",INDEX(Obliczenia!$J$6:$J$55,MATCH(B34,Obliczenia!$B$6:$B$55,0)))</x:f>
      </x:c>
      <x:c r="K34" s="28" t="str">
        <x:f>IF(B34="","",INDEX(Obliczenia!$K$6:$K$55,MATCH(B34,Obliczenia!$B$6:$B$55,0)))</x:f>
      </x:c>
      <x:c r="L34" s="28" t="str">
        <x:f>IF(B34="","",INDEX(Obliczenia!$L$6:$L$55,MATCH(B34,Obliczenia!$B$6:$B$55,0)))</x:f>
      </x:c>
      <x:c r="M34" s="28" t="str">
        <x:f>IF(B34="","",INDEX(Obliczenia!$M$6:$M$55,MATCH(B34,Obliczenia!$B$6:$B$55,0)))</x:f>
      </x:c>
      <x:c r="N34" s="28" t="str">
        <x:f>IF(B34="","",INDEX(Obliczenia!$N$6:$N$55,MATCH(B34,Obliczenia!$B$6:$B$55,0)))</x:f>
      </x:c>
      <x:c r="O34" s="28" t="str">
        <x:f>IF(B34="","",INDEX(Obliczenia!$O$6:$O$55,MATCH(B34,Obliczenia!$B$6:$B$55,0)))</x:f>
      </x:c>
      <x:c r="P34" s="28" t="str">
        <x:f>IF(B34="","",INDEX(Obliczenia!$P$6:$P$55,MATCH(B34,Obliczenia!$B$6:$B$55,0)))</x:f>
      </x:c>
      <x:c r="Q34" s="28" t="str">
        <x:f>IF(B34="","",INDEX(Obliczenia!$Q$6:$Q$55,MATCH(B34,Obliczenia!$B$6:$B$55,0)))</x:f>
      </x:c>
      <x:c r="R34" s="28" t="str">
        <x:f>IF(B34="","",INDEX(Obliczenia!$R$6:$R$55,MATCH(B34,Obliczenia!$B$6:$B$55,0)))</x:f>
      </x:c>
      <x:c r="S34" s="28" t="str">
        <x:f>IF(B34="","",INDEX(Obliczenia!$S$6:$S$55,MATCH(B34,Obliczenia!$B$6:$B$55,0)))</x:f>
      </x:c>
      <x:c r="T34" s="28" t="str">
        <x:f>IF(B34="","",INDEX(Obliczenia!$T$6:$T$55,MATCH(B34,Obliczenia!$B$6:$B$55,0)))</x:f>
      </x:c>
      <x:c r="U34" s="28" t="str">
        <x:f>IF(B34="","",INDEX(Obliczenia!$U$6:$U$55,MATCH(B34,Obliczenia!$B$6:$B$55,0)))</x:f>
      </x:c>
      <x:c r="V34" s="28" t="str">
        <x:f>IF(B34="","",INDEX(Obliczenia!$V$6:$V$55,MATCH(B34,Obliczenia!$B$6:$B$55,0)))</x:f>
      </x:c>
      <x:c r="W34" s="28" t="str">
        <x:f>IF(B34="","",INDEX(Obliczenia!$W$6:$W$55,MATCH(B34,Obliczenia!$B$6:$B$55,0)))</x:f>
      </x:c>
      <x:c r="X34" s="17" t="str">
        <x:f>IF(B34="","",INDEX(Obliczenia!$X$6:$X$55,MATCH(B34,Obliczenia!$B$6:$B$55,0)))</x:f>
      </x:c>
      <x:c r="Y34" s="29" t="str">
        <x:f>IF(B34="","",INDEX(Obliczenia!$Y$6:$Y$55,MATCH(B34,Obliczenia!$B$6:$B$55,0)))</x:f>
      </x:c>
      <x:c r="Z34" s="30" t="str">
        <x:f>IF(B34="","",INDEX(Obliczenia!$Z$6:$Z$55,MATCH(B34,Obliczenia!$B$6:$B$55,0)))</x:f>
      </x:c>
    </x:row>
    <x:row r="35">
      <x:c r="A35" s="33" t="str">
        <x:f>IF(B35="","",1+COUNTIF($Y$6:$Y$55,"&gt;"&amp;Y35))</x:f>
      </x:c>
      <x:c r="B35" s="17" t="str">
        <x:f>IFERROR(INDEX(Obliczenia!$B$6:$B$55,MATCH(LARGE(Obliczenia!$AA$6:$AA$55,30),Obliczenia!$AA$6:$AA$55,0)),"")</x:f>
      </x:c>
      <x:c r="C35" s="17" t="str">
        <x:f>IF(B35="","",INDEX(Obliczenia!$C$6:$C$55,MATCH(B35,Obliczenia!$B$6:$B$55,0)))</x:f>
      </x:c>
      <x:c r="D35" s="28" t="str">
        <x:f>IF(B35="","",INDEX(Obliczenia!$D$6:$D$55,MATCH(B35,Obliczenia!$B$6:$B$55,0)))</x:f>
      </x:c>
      <x:c r="E35" s="28" t="str">
        <x:f>IF(B35="","",INDEX(Obliczenia!$E$6:$E$55,MATCH(B35,Obliczenia!$B$6:$B$55,0)))</x:f>
      </x:c>
      <x:c r="F35" s="28" t="str">
        <x:f>IF(B35="","",INDEX(Obliczenia!$F$6:$F$55,MATCH(B35,Obliczenia!$B$6:$B$55,0)))</x:f>
      </x:c>
      <x:c r="G35" s="28" t="str">
        <x:f>IF(B35="","",INDEX(Obliczenia!$G$6:$G$55,MATCH(B35,Obliczenia!$B$6:$B$55,0)))</x:f>
      </x:c>
      <x:c r="H35" s="28" t="str">
        <x:f>IF(B35="","",INDEX(Obliczenia!$H$6:$H$55,MATCH(B35,Obliczenia!$B$6:$B$55,0)))</x:f>
      </x:c>
      <x:c r="I35" s="28" t="str">
        <x:f>IF(B35="","",INDEX(Obliczenia!$I$6:$I$55,MATCH(B35,Obliczenia!$B$6:$B$55,0)))</x:f>
      </x:c>
      <x:c r="J35" s="28" t="str">
        <x:f>IF(B35="","",INDEX(Obliczenia!$J$6:$J$55,MATCH(B35,Obliczenia!$B$6:$B$55,0)))</x:f>
      </x:c>
      <x:c r="K35" s="28" t="str">
        <x:f>IF(B35="","",INDEX(Obliczenia!$K$6:$K$55,MATCH(B35,Obliczenia!$B$6:$B$55,0)))</x:f>
      </x:c>
      <x:c r="L35" s="28" t="str">
        <x:f>IF(B35="","",INDEX(Obliczenia!$L$6:$L$55,MATCH(B35,Obliczenia!$B$6:$B$55,0)))</x:f>
      </x:c>
      <x:c r="M35" s="28" t="str">
        <x:f>IF(B35="","",INDEX(Obliczenia!$M$6:$M$55,MATCH(B35,Obliczenia!$B$6:$B$55,0)))</x:f>
      </x:c>
      <x:c r="N35" s="28" t="str">
        <x:f>IF(B35="","",INDEX(Obliczenia!$N$6:$N$55,MATCH(B35,Obliczenia!$B$6:$B$55,0)))</x:f>
      </x:c>
      <x:c r="O35" s="28" t="str">
        <x:f>IF(B35="","",INDEX(Obliczenia!$O$6:$O$55,MATCH(B35,Obliczenia!$B$6:$B$55,0)))</x:f>
      </x:c>
      <x:c r="P35" s="28" t="str">
        <x:f>IF(B35="","",INDEX(Obliczenia!$P$6:$P$55,MATCH(B35,Obliczenia!$B$6:$B$55,0)))</x:f>
      </x:c>
      <x:c r="Q35" s="28" t="str">
        <x:f>IF(B35="","",INDEX(Obliczenia!$Q$6:$Q$55,MATCH(B35,Obliczenia!$B$6:$B$55,0)))</x:f>
      </x:c>
      <x:c r="R35" s="28" t="str">
        <x:f>IF(B35="","",INDEX(Obliczenia!$R$6:$R$55,MATCH(B35,Obliczenia!$B$6:$B$55,0)))</x:f>
      </x:c>
      <x:c r="S35" s="28" t="str">
        <x:f>IF(B35="","",INDEX(Obliczenia!$S$6:$S$55,MATCH(B35,Obliczenia!$B$6:$B$55,0)))</x:f>
      </x:c>
      <x:c r="T35" s="28" t="str">
        <x:f>IF(B35="","",INDEX(Obliczenia!$T$6:$T$55,MATCH(B35,Obliczenia!$B$6:$B$55,0)))</x:f>
      </x:c>
      <x:c r="U35" s="28" t="str">
        <x:f>IF(B35="","",INDEX(Obliczenia!$U$6:$U$55,MATCH(B35,Obliczenia!$B$6:$B$55,0)))</x:f>
      </x:c>
      <x:c r="V35" s="28" t="str">
        <x:f>IF(B35="","",INDEX(Obliczenia!$V$6:$V$55,MATCH(B35,Obliczenia!$B$6:$B$55,0)))</x:f>
      </x:c>
      <x:c r="W35" s="28" t="str">
        <x:f>IF(B35="","",INDEX(Obliczenia!$W$6:$W$55,MATCH(B35,Obliczenia!$B$6:$B$55,0)))</x:f>
      </x:c>
      <x:c r="X35" s="17" t="str">
        <x:f>IF(B35="","",INDEX(Obliczenia!$X$6:$X$55,MATCH(B35,Obliczenia!$B$6:$B$55,0)))</x:f>
      </x:c>
      <x:c r="Y35" s="29" t="str">
        <x:f>IF(B35="","",INDEX(Obliczenia!$Y$6:$Y$55,MATCH(B35,Obliczenia!$B$6:$B$55,0)))</x:f>
      </x:c>
      <x:c r="Z35" s="30" t="str">
        <x:f>IF(B35="","",INDEX(Obliczenia!$Z$6:$Z$55,MATCH(B35,Obliczenia!$B$6:$B$55,0)))</x:f>
      </x:c>
    </x:row>
    <x:row r="36">
      <x:c r="A36" s="33" t="str">
        <x:f>IF(B36="","",1+COUNTIF($Y$6:$Y$55,"&gt;"&amp;Y36))</x:f>
      </x:c>
      <x:c r="B36" s="17" t="str">
        <x:f>IFERROR(INDEX(Obliczenia!$B$6:$B$55,MATCH(LARGE(Obliczenia!$AA$6:$AA$55,31),Obliczenia!$AA$6:$AA$55,0)),"")</x:f>
      </x:c>
      <x:c r="C36" s="17" t="str">
        <x:f>IF(B36="","",INDEX(Obliczenia!$C$6:$C$55,MATCH(B36,Obliczenia!$B$6:$B$55,0)))</x:f>
      </x:c>
      <x:c r="D36" s="28" t="str">
        <x:f>IF(B36="","",INDEX(Obliczenia!$D$6:$D$55,MATCH(B36,Obliczenia!$B$6:$B$55,0)))</x:f>
      </x:c>
      <x:c r="E36" s="28" t="str">
        <x:f>IF(B36="","",INDEX(Obliczenia!$E$6:$E$55,MATCH(B36,Obliczenia!$B$6:$B$55,0)))</x:f>
      </x:c>
      <x:c r="F36" s="28" t="str">
        <x:f>IF(B36="","",INDEX(Obliczenia!$F$6:$F$55,MATCH(B36,Obliczenia!$B$6:$B$55,0)))</x:f>
      </x:c>
      <x:c r="G36" s="28" t="str">
        <x:f>IF(B36="","",INDEX(Obliczenia!$G$6:$G$55,MATCH(B36,Obliczenia!$B$6:$B$55,0)))</x:f>
      </x:c>
      <x:c r="H36" s="28" t="str">
        <x:f>IF(B36="","",INDEX(Obliczenia!$H$6:$H$55,MATCH(B36,Obliczenia!$B$6:$B$55,0)))</x:f>
      </x:c>
      <x:c r="I36" s="28" t="str">
        <x:f>IF(B36="","",INDEX(Obliczenia!$I$6:$I$55,MATCH(B36,Obliczenia!$B$6:$B$55,0)))</x:f>
      </x:c>
      <x:c r="J36" s="28" t="str">
        <x:f>IF(B36="","",INDEX(Obliczenia!$J$6:$J$55,MATCH(B36,Obliczenia!$B$6:$B$55,0)))</x:f>
      </x:c>
      <x:c r="K36" s="28" t="str">
        <x:f>IF(B36="","",INDEX(Obliczenia!$K$6:$K$55,MATCH(B36,Obliczenia!$B$6:$B$55,0)))</x:f>
      </x:c>
      <x:c r="L36" s="28" t="str">
        <x:f>IF(B36="","",INDEX(Obliczenia!$L$6:$L$55,MATCH(B36,Obliczenia!$B$6:$B$55,0)))</x:f>
      </x:c>
      <x:c r="M36" s="28" t="str">
        <x:f>IF(B36="","",INDEX(Obliczenia!$M$6:$M$55,MATCH(B36,Obliczenia!$B$6:$B$55,0)))</x:f>
      </x:c>
      <x:c r="N36" s="28" t="str">
        <x:f>IF(B36="","",INDEX(Obliczenia!$N$6:$N$55,MATCH(B36,Obliczenia!$B$6:$B$55,0)))</x:f>
      </x:c>
      <x:c r="O36" s="28" t="str">
        <x:f>IF(B36="","",INDEX(Obliczenia!$O$6:$O$55,MATCH(B36,Obliczenia!$B$6:$B$55,0)))</x:f>
      </x:c>
      <x:c r="P36" s="28" t="str">
        <x:f>IF(B36="","",INDEX(Obliczenia!$P$6:$P$55,MATCH(B36,Obliczenia!$B$6:$B$55,0)))</x:f>
      </x:c>
      <x:c r="Q36" s="28" t="str">
        <x:f>IF(B36="","",INDEX(Obliczenia!$Q$6:$Q$55,MATCH(B36,Obliczenia!$B$6:$B$55,0)))</x:f>
      </x:c>
      <x:c r="R36" s="28" t="str">
        <x:f>IF(B36="","",INDEX(Obliczenia!$R$6:$R$55,MATCH(B36,Obliczenia!$B$6:$B$55,0)))</x:f>
      </x:c>
      <x:c r="S36" s="28" t="str">
        <x:f>IF(B36="","",INDEX(Obliczenia!$S$6:$S$55,MATCH(B36,Obliczenia!$B$6:$B$55,0)))</x:f>
      </x:c>
      <x:c r="T36" s="28" t="str">
        <x:f>IF(B36="","",INDEX(Obliczenia!$T$6:$T$55,MATCH(B36,Obliczenia!$B$6:$B$55,0)))</x:f>
      </x:c>
      <x:c r="U36" s="28" t="str">
        <x:f>IF(B36="","",INDEX(Obliczenia!$U$6:$U$55,MATCH(B36,Obliczenia!$B$6:$B$55,0)))</x:f>
      </x:c>
      <x:c r="V36" s="28" t="str">
        <x:f>IF(B36="","",INDEX(Obliczenia!$V$6:$V$55,MATCH(B36,Obliczenia!$B$6:$B$55,0)))</x:f>
      </x:c>
      <x:c r="W36" s="28" t="str">
        <x:f>IF(B36="","",INDEX(Obliczenia!$W$6:$W$55,MATCH(B36,Obliczenia!$B$6:$B$55,0)))</x:f>
      </x:c>
      <x:c r="X36" s="17" t="str">
        <x:f>IF(B36="","",INDEX(Obliczenia!$X$6:$X$55,MATCH(B36,Obliczenia!$B$6:$B$55,0)))</x:f>
      </x:c>
      <x:c r="Y36" s="29" t="str">
        <x:f>IF(B36="","",INDEX(Obliczenia!$Y$6:$Y$55,MATCH(B36,Obliczenia!$B$6:$B$55,0)))</x:f>
      </x:c>
      <x:c r="Z36" s="30" t="str">
        <x:f>IF(B36="","",INDEX(Obliczenia!$Z$6:$Z$55,MATCH(B36,Obliczenia!$B$6:$B$55,0)))</x:f>
      </x:c>
    </x:row>
    <x:row r="37">
      <x:c r="A37" s="33" t="str">
        <x:f>IF(B37="","",1+COUNTIF($Y$6:$Y$55,"&gt;"&amp;Y37))</x:f>
      </x:c>
      <x:c r="B37" s="17" t="str">
        <x:f>IFERROR(INDEX(Obliczenia!$B$6:$B$55,MATCH(LARGE(Obliczenia!$AA$6:$AA$55,32),Obliczenia!$AA$6:$AA$55,0)),"")</x:f>
      </x:c>
      <x:c r="C37" s="17" t="str">
        <x:f>IF(B37="","",INDEX(Obliczenia!$C$6:$C$55,MATCH(B37,Obliczenia!$B$6:$B$55,0)))</x:f>
      </x:c>
      <x:c r="D37" s="28" t="str">
        <x:f>IF(B37="","",INDEX(Obliczenia!$D$6:$D$55,MATCH(B37,Obliczenia!$B$6:$B$55,0)))</x:f>
      </x:c>
      <x:c r="E37" s="28" t="str">
        <x:f>IF(B37="","",INDEX(Obliczenia!$E$6:$E$55,MATCH(B37,Obliczenia!$B$6:$B$55,0)))</x:f>
      </x:c>
      <x:c r="F37" s="28" t="str">
        <x:f>IF(B37="","",INDEX(Obliczenia!$F$6:$F$55,MATCH(B37,Obliczenia!$B$6:$B$55,0)))</x:f>
      </x:c>
      <x:c r="G37" s="28" t="str">
        <x:f>IF(B37="","",INDEX(Obliczenia!$G$6:$G$55,MATCH(B37,Obliczenia!$B$6:$B$55,0)))</x:f>
      </x:c>
      <x:c r="H37" s="28" t="str">
        <x:f>IF(B37="","",INDEX(Obliczenia!$H$6:$H$55,MATCH(B37,Obliczenia!$B$6:$B$55,0)))</x:f>
      </x:c>
      <x:c r="I37" s="28" t="str">
        <x:f>IF(B37="","",INDEX(Obliczenia!$I$6:$I$55,MATCH(B37,Obliczenia!$B$6:$B$55,0)))</x:f>
      </x:c>
      <x:c r="J37" s="28" t="str">
        <x:f>IF(B37="","",INDEX(Obliczenia!$J$6:$J$55,MATCH(B37,Obliczenia!$B$6:$B$55,0)))</x:f>
      </x:c>
      <x:c r="K37" s="28" t="str">
        <x:f>IF(B37="","",INDEX(Obliczenia!$K$6:$K$55,MATCH(B37,Obliczenia!$B$6:$B$55,0)))</x:f>
      </x:c>
      <x:c r="L37" s="28" t="str">
        <x:f>IF(B37="","",INDEX(Obliczenia!$L$6:$L$55,MATCH(B37,Obliczenia!$B$6:$B$55,0)))</x:f>
      </x:c>
      <x:c r="M37" s="28" t="str">
        <x:f>IF(B37="","",INDEX(Obliczenia!$M$6:$M$55,MATCH(B37,Obliczenia!$B$6:$B$55,0)))</x:f>
      </x:c>
      <x:c r="N37" s="28" t="str">
        <x:f>IF(B37="","",INDEX(Obliczenia!$N$6:$N$55,MATCH(B37,Obliczenia!$B$6:$B$55,0)))</x:f>
      </x:c>
      <x:c r="O37" s="28" t="str">
        <x:f>IF(B37="","",INDEX(Obliczenia!$O$6:$O$55,MATCH(B37,Obliczenia!$B$6:$B$55,0)))</x:f>
      </x:c>
      <x:c r="P37" s="28" t="str">
        <x:f>IF(B37="","",INDEX(Obliczenia!$P$6:$P$55,MATCH(B37,Obliczenia!$B$6:$B$55,0)))</x:f>
      </x:c>
      <x:c r="Q37" s="28" t="str">
        <x:f>IF(B37="","",INDEX(Obliczenia!$Q$6:$Q$55,MATCH(B37,Obliczenia!$B$6:$B$55,0)))</x:f>
      </x:c>
      <x:c r="R37" s="28" t="str">
        <x:f>IF(B37="","",INDEX(Obliczenia!$R$6:$R$55,MATCH(B37,Obliczenia!$B$6:$B$55,0)))</x:f>
      </x:c>
      <x:c r="S37" s="28" t="str">
        <x:f>IF(B37="","",INDEX(Obliczenia!$S$6:$S$55,MATCH(B37,Obliczenia!$B$6:$B$55,0)))</x:f>
      </x:c>
      <x:c r="T37" s="28" t="str">
        <x:f>IF(B37="","",INDEX(Obliczenia!$T$6:$T$55,MATCH(B37,Obliczenia!$B$6:$B$55,0)))</x:f>
      </x:c>
      <x:c r="U37" s="28" t="str">
        <x:f>IF(B37="","",INDEX(Obliczenia!$U$6:$U$55,MATCH(B37,Obliczenia!$B$6:$B$55,0)))</x:f>
      </x:c>
      <x:c r="V37" s="28" t="str">
        <x:f>IF(B37="","",INDEX(Obliczenia!$V$6:$V$55,MATCH(B37,Obliczenia!$B$6:$B$55,0)))</x:f>
      </x:c>
      <x:c r="W37" s="28" t="str">
        <x:f>IF(B37="","",INDEX(Obliczenia!$W$6:$W$55,MATCH(B37,Obliczenia!$B$6:$B$55,0)))</x:f>
      </x:c>
      <x:c r="X37" s="17" t="str">
        <x:f>IF(B37="","",INDEX(Obliczenia!$X$6:$X$55,MATCH(B37,Obliczenia!$B$6:$B$55,0)))</x:f>
      </x:c>
      <x:c r="Y37" s="29" t="str">
        <x:f>IF(B37="","",INDEX(Obliczenia!$Y$6:$Y$55,MATCH(B37,Obliczenia!$B$6:$B$55,0)))</x:f>
      </x:c>
      <x:c r="Z37" s="30" t="str">
        <x:f>IF(B37="","",INDEX(Obliczenia!$Z$6:$Z$55,MATCH(B37,Obliczenia!$B$6:$B$55,0)))</x:f>
      </x:c>
    </x:row>
    <x:row r="38">
      <x:c r="A38" s="33" t="str">
        <x:f>IF(B38="","",1+COUNTIF($Y$6:$Y$55,"&gt;"&amp;Y38))</x:f>
      </x:c>
      <x:c r="B38" s="17" t="str">
        <x:f>IFERROR(INDEX(Obliczenia!$B$6:$B$55,MATCH(LARGE(Obliczenia!$AA$6:$AA$55,33),Obliczenia!$AA$6:$AA$55,0)),"")</x:f>
      </x:c>
      <x:c r="C38" s="17" t="str">
        <x:f>IF(B38="","",INDEX(Obliczenia!$C$6:$C$55,MATCH(B38,Obliczenia!$B$6:$B$55,0)))</x:f>
      </x:c>
      <x:c r="D38" s="28" t="str">
        <x:f>IF(B38="","",INDEX(Obliczenia!$D$6:$D$55,MATCH(B38,Obliczenia!$B$6:$B$55,0)))</x:f>
      </x:c>
      <x:c r="E38" s="28" t="str">
        <x:f>IF(B38="","",INDEX(Obliczenia!$E$6:$E$55,MATCH(B38,Obliczenia!$B$6:$B$55,0)))</x:f>
      </x:c>
      <x:c r="F38" s="28" t="str">
        <x:f>IF(B38="","",INDEX(Obliczenia!$F$6:$F$55,MATCH(B38,Obliczenia!$B$6:$B$55,0)))</x:f>
      </x:c>
      <x:c r="G38" s="28" t="str">
        <x:f>IF(B38="","",INDEX(Obliczenia!$G$6:$G$55,MATCH(B38,Obliczenia!$B$6:$B$55,0)))</x:f>
      </x:c>
      <x:c r="H38" s="28" t="str">
        <x:f>IF(B38="","",INDEX(Obliczenia!$H$6:$H$55,MATCH(B38,Obliczenia!$B$6:$B$55,0)))</x:f>
      </x:c>
      <x:c r="I38" s="28" t="str">
        <x:f>IF(B38="","",INDEX(Obliczenia!$I$6:$I$55,MATCH(B38,Obliczenia!$B$6:$B$55,0)))</x:f>
      </x:c>
      <x:c r="J38" s="28" t="str">
        <x:f>IF(B38="","",INDEX(Obliczenia!$J$6:$J$55,MATCH(B38,Obliczenia!$B$6:$B$55,0)))</x:f>
      </x:c>
      <x:c r="K38" s="28" t="str">
        <x:f>IF(B38="","",INDEX(Obliczenia!$K$6:$K$55,MATCH(B38,Obliczenia!$B$6:$B$55,0)))</x:f>
      </x:c>
      <x:c r="L38" s="28" t="str">
        <x:f>IF(B38="","",INDEX(Obliczenia!$L$6:$L$55,MATCH(B38,Obliczenia!$B$6:$B$55,0)))</x:f>
      </x:c>
      <x:c r="M38" s="28" t="str">
        <x:f>IF(B38="","",INDEX(Obliczenia!$M$6:$M$55,MATCH(B38,Obliczenia!$B$6:$B$55,0)))</x:f>
      </x:c>
      <x:c r="N38" s="28" t="str">
        <x:f>IF(B38="","",INDEX(Obliczenia!$N$6:$N$55,MATCH(B38,Obliczenia!$B$6:$B$55,0)))</x:f>
      </x:c>
      <x:c r="O38" s="28" t="str">
        <x:f>IF(B38="","",INDEX(Obliczenia!$O$6:$O$55,MATCH(B38,Obliczenia!$B$6:$B$55,0)))</x:f>
      </x:c>
      <x:c r="P38" s="28" t="str">
        <x:f>IF(B38="","",INDEX(Obliczenia!$P$6:$P$55,MATCH(B38,Obliczenia!$B$6:$B$55,0)))</x:f>
      </x:c>
      <x:c r="Q38" s="28" t="str">
        <x:f>IF(B38="","",INDEX(Obliczenia!$Q$6:$Q$55,MATCH(B38,Obliczenia!$B$6:$B$55,0)))</x:f>
      </x:c>
      <x:c r="R38" s="28" t="str">
        <x:f>IF(B38="","",INDEX(Obliczenia!$R$6:$R$55,MATCH(B38,Obliczenia!$B$6:$B$55,0)))</x:f>
      </x:c>
      <x:c r="S38" s="28" t="str">
        <x:f>IF(B38="","",INDEX(Obliczenia!$S$6:$S$55,MATCH(B38,Obliczenia!$B$6:$B$55,0)))</x:f>
      </x:c>
      <x:c r="T38" s="28" t="str">
        <x:f>IF(B38="","",INDEX(Obliczenia!$T$6:$T$55,MATCH(B38,Obliczenia!$B$6:$B$55,0)))</x:f>
      </x:c>
      <x:c r="U38" s="28" t="str">
        <x:f>IF(B38="","",INDEX(Obliczenia!$U$6:$U$55,MATCH(B38,Obliczenia!$B$6:$B$55,0)))</x:f>
      </x:c>
      <x:c r="V38" s="28" t="str">
        <x:f>IF(B38="","",INDEX(Obliczenia!$V$6:$V$55,MATCH(B38,Obliczenia!$B$6:$B$55,0)))</x:f>
      </x:c>
      <x:c r="W38" s="28" t="str">
        <x:f>IF(B38="","",INDEX(Obliczenia!$W$6:$W$55,MATCH(B38,Obliczenia!$B$6:$B$55,0)))</x:f>
      </x:c>
      <x:c r="X38" s="17" t="str">
        <x:f>IF(B38="","",INDEX(Obliczenia!$X$6:$X$55,MATCH(B38,Obliczenia!$B$6:$B$55,0)))</x:f>
      </x:c>
      <x:c r="Y38" s="29" t="str">
        <x:f>IF(B38="","",INDEX(Obliczenia!$Y$6:$Y$55,MATCH(B38,Obliczenia!$B$6:$B$55,0)))</x:f>
      </x:c>
      <x:c r="Z38" s="30" t="str">
        <x:f>IF(B38="","",INDEX(Obliczenia!$Z$6:$Z$55,MATCH(B38,Obliczenia!$B$6:$B$55,0)))</x:f>
      </x:c>
    </x:row>
    <x:row r="39">
      <x:c r="A39" s="33" t="str">
        <x:f>IF(B39="","",1+COUNTIF($Y$6:$Y$55,"&gt;"&amp;Y39))</x:f>
      </x:c>
      <x:c r="B39" s="17" t="str">
        <x:f>IFERROR(INDEX(Obliczenia!$B$6:$B$55,MATCH(LARGE(Obliczenia!$AA$6:$AA$55,34),Obliczenia!$AA$6:$AA$55,0)),"")</x:f>
      </x:c>
      <x:c r="C39" s="17" t="str">
        <x:f>IF(B39="","",INDEX(Obliczenia!$C$6:$C$55,MATCH(B39,Obliczenia!$B$6:$B$55,0)))</x:f>
      </x:c>
      <x:c r="D39" s="28" t="str">
        <x:f>IF(B39="","",INDEX(Obliczenia!$D$6:$D$55,MATCH(B39,Obliczenia!$B$6:$B$55,0)))</x:f>
      </x:c>
      <x:c r="E39" s="28" t="str">
        <x:f>IF(B39="","",INDEX(Obliczenia!$E$6:$E$55,MATCH(B39,Obliczenia!$B$6:$B$55,0)))</x:f>
      </x:c>
      <x:c r="F39" s="28" t="str">
        <x:f>IF(B39="","",INDEX(Obliczenia!$F$6:$F$55,MATCH(B39,Obliczenia!$B$6:$B$55,0)))</x:f>
      </x:c>
      <x:c r="G39" s="28" t="str">
        <x:f>IF(B39="","",INDEX(Obliczenia!$G$6:$G$55,MATCH(B39,Obliczenia!$B$6:$B$55,0)))</x:f>
      </x:c>
      <x:c r="H39" s="28" t="str">
        <x:f>IF(B39="","",INDEX(Obliczenia!$H$6:$H$55,MATCH(B39,Obliczenia!$B$6:$B$55,0)))</x:f>
      </x:c>
      <x:c r="I39" s="28" t="str">
        <x:f>IF(B39="","",INDEX(Obliczenia!$I$6:$I$55,MATCH(B39,Obliczenia!$B$6:$B$55,0)))</x:f>
      </x:c>
      <x:c r="J39" s="28" t="str">
        <x:f>IF(B39="","",INDEX(Obliczenia!$J$6:$J$55,MATCH(B39,Obliczenia!$B$6:$B$55,0)))</x:f>
      </x:c>
      <x:c r="K39" s="28" t="str">
        <x:f>IF(B39="","",INDEX(Obliczenia!$K$6:$K$55,MATCH(B39,Obliczenia!$B$6:$B$55,0)))</x:f>
      </x:c>
      <x:c r="L39" s="28" t="str">
        <x:f>IF(B39="","",INDEX(Obliczenia!$L$6:$L$55,MATCH(B39,Obliczenia!$B$6:$B$55,0)))</x:f>
      </x:c>
      <x:c r="M39" s="28" t="str">
        <x:f>IF(B39="","",INDEX(Obliczenia!$M$6:$M$55,MATCH(B39,Obliczenia!$B$6:$B$55,0)))</x:f>
      </x:c>
      <x:c r="N39" s="28" t="str">
        <x:f>IF(B39="","",INDEX(Obliczenia!$N$6:$N$55,MATCH(B39,Obliczenia!$B$6:$B$55,0)))</x:f>
      </x:c>
      <x:c r="O39" s="28" t="str">
        <x:f>IF(B39="","",INDEX(Obliczenia!$O$6:$O$55,MATCH(B39,Obliczenia!$B$6:$B$55,0)))</x:f>
      </x:c>
      <x:c r="P39" s="28" t="str">
        <x:f>IF(B39="","",INDEX(Obliczenia!$P$6:$P$55,MATCH(B39,Obliczenia!$B$6:$B$55,0)))</x:f>
      </x:c>
      <x:c r="Q39" s="28" t="str">
        <x:f>IF(B39="","",INDEX(Obliczenia!$Q$6:$Q$55,MATCH(B39,Obliczenia!$B$6:$B$55,0)))</x:f>
      </x:c>
      <x:c r="R39" s="28" t="str">
        <x:f>IF(B39="","",INDEX(Obliczenia!$R$6:$R$55,MATCH(B39,Obliczenia!$B$6:$B$55,0)))</x:f>
      </x:c>
      <x:c r="S39" s="28" t="str">
        <x:f>IF(B39="","",INDEX(Obliczenia!$S$6:$S$55,MATCH(B39,Obliczenia!$B$6:$B$55,0)))</x:f>
      </x:c>
      <x:c r="T39" s="28" t="str">
        <x:f>IF(B39="","",INDEX(Obliczenia!$T$6:$T$55,MATCH(B39,Obliczenia!$B$6:$B$55,0)))</x:f>
      </x:c>
      <x:c r="U39" s="28" t="str">
        <x:f>IF(B39="","",INDEX(Obliczenia!$U$6:$U$55,MATCH(B39,Obliczenia!$B$6:$B$55,0)))</x:f>
      </x:c>
      <x:c r="V39" s="28" t="str">
        <x:f>IF(B39="","",INDEX(Obliczenia!$V$6:$V$55,MATCH(B39,Obliczenia!$B$6:$B$55,0)))</x:f>
      </x:c>
      <x:c r="W39" s="28" t="str">
        <x:f>IF(B39="","",INDEX(Obliczenia!$W$6:$W$55,MATCH(B39,Obliczenia!$B$6:$B$55,0)))</x:f>
      </x:c>
      <x:c r="X39" s="17" t="str">
        <x:f>IF(B39="","",INDEX(Obliczenia!$X$6:$X$55,MATCH(B39,Obliczenia!$B$6:$B$55,0)))</x:f>
      </x:c>
      <x:c r="Y39" s="29" t="str">
        <x:f>IF(B39="","",INDEX(Obliczenia!$Y$6:$Y$55,MATCH(B39,Obliczenia!$B$6:$B$55,0)))</x:f>
      </x:c>
      <x:c r="Z39" s="30" t="str">
        <x:f>IF(B39="","",INDEX(Obliczenia!$Z$6:$Z$55,MATCH(B39,Obliczenia!$B$6:$B$55,0)))</x:f>
      </x:c>
    </x:row>
    <x:row r="40">
      <x:c r="A40" s="33" t="str">
        <x:f>IF(B40="","",1+COUNTIF($Y$6:$Y$55,"&gt;"&amp;Y40))</x:f>
      </x:c>
      <x:c r="B40" s="17" t="str">
        <x:f>IFERROR(INDEX(Obliczenia!$B$6:$B$55,MATCH(LARGE(Obliczenia!$AA$6:$AA$55,35),Obliczenia!$AA$6:$AA$55,0)),"")</x:f>
      </x:c>
      <x:c r="C40" s="17" t="str">
        <x:f>IF(B40="","",INDEX(Obliczenia!$C$6:$C$55,MATCH(B40,Obliczenia!$B$6:$B$55,0)))</x:f>
      </x:c>
      <x:c r="D40" s="28" t="str">
        <x:f>IF(B40="","",INDEX(Obliczenia!$D$6:$D$55,MATCH(B40,Obliczenia!$B$6:$B$55,0)))</x:f>
      </x:c>
      <x:c r="E40" s="28" t="str">
        <x:f>IF(B40="","",INDEX(Obliczenia!$E$6:$E$55,MATCH(B40,Obliczenia!$B$6:$B$55,0)))</x:f>
      </x:c>
      <x:c r="F40" s="28" t="str">
        <x:f>IF(B40="","",INDEX(Obliczenia!$F$6:$F$55,MATCH(B40,Obliczenia!$B$6:$B$55,0)))</x:f>
      </x:c>
      <x:c r="G40" s="28" t="str">
        <x:f>IF(B40="","",INDEX(Obliczenia!$G$6:$G$55,MATCH(B40,Obliczenia!$B$6:$B$55,0)))</x:f>
      </x:c>
      <x:c r="H40" s="28" t="str">
        <x:f>IF(B40="","",INDEX(Obliczenia!$H$6:$H$55,MATCH(B40,Obliczenia!$B$6:$B$55,0)))</x:f>
      </x:c>
      <x:c r="I40" s="28" t="str">
        <x:f>IF(B40="","",INDEX(Obliczenia!$I$6:$I$55,MATCH(B40,Obliczenia!$B$6:$B$55,0)))</x:f>
      </x:c>
      <x:c r="J40" s="28" t="str">
        <x:f>IF(B40="","",INDEX(Obliczenia!$J$6:$J$55,MATCH(B40,Obliczenia!$B$6:$B$55,0)))</x:f>
      </x:c>
      <x:c r="K40" s="28" t="str">
        <x:f>IF(B40="","",INDEX(Obliczenia!$K$6:$K$55,MATCH(B40,Obliczenia!$B$6:$B$55,0)))</x:f>
      </x:c>
      <x:c r="L40" s="28" t="str">
        <x:f>IF(B40="","",INDEX(Obliczenia!$L$6:$L$55,MATCH(B40,Obliczenia!$B$6:$B$55,0)))</x:f>
      </x:c>
      <x:c r="M40" s="28" t="str">
        <x:f>IF(B40="","",INDEX(Obliczenia!$M$6:$M$55,MATCH(B40,Obliczenia!$B$6:$B$55,0)))</x:f>
      </x:c>
      <x:c r="N40" s="28" t="str">
        <x:f>IF(B40="","",INDEX(Obliczenia!$N$6:$N$55,MATCH(B40,Obliczenia!$B$6:$B$55,0)))</x:f>
      </x:c>
      <x:c r="O40" s="28" t="str">
        <x:f>IF(B40="","",INDEX(Obliczenia!$O$6:$O$55,MATCH(B40,Obliczenia!$B$6:$B$55,0)))</x:f>
      </x:c>
      <x:c r="P40" s="28" t="str">
        <x:f>IF(B40="","",INDEX(Obliczenia!$P$6:$P$55,MATCH(B40,Obliczenia!$B$6:$B$55,0)))</x:f>
      </x:c>
      <x:c r="Q40" s="28" t="str">
        <x:f>IF(B40="","",INDEX(Obliczenia!$Q$6:$Q$55,MATCH(B40,Obliczenia!$B$6:$B$55,0)))</x:f>
      </x:c>
      <x:c r="R40" s="28" t="str">
        <x:f>IF(B40="","",INDEX(Obliczenia!$R$6:$R$55,MATCH(B40,Obliczenia!$B$6:$B$55,0)))</x:f>
      </x:c>
      <x:c r="S40" s="28" t="str">
        <x:f>IF(B40="","",INDEX(Obliczenia!$S$6:$S$55,MATCH(B40,Obliczenia!$B$6:$B$55,0)))</x:f>
      </x:c>
      <x:c r="T40" s="28" t="str">
        <x:f>IF(B40="","",INDEX(Obliczenia!$T$6:$T$55,MATCH(B40,Obliczenia!$B$6:$B$55,0)))</x:f>
      </x:c>
      <x:c r="U40" s="28" t="str">
        <x:f>IF(B40="","",INDEX(Obliczenia!$U$6:$U$55,MATCH(B40,Obliczenia!$B$6:$B$55,0)))</x:f>
      </x:c>
      <x:c r="V40" s="28" t="str">
        <x:f>IF(B40="","",INDEX(Obliczenia!$V$6:$V$55,MATCH(B40,Obliczenia!$B$6:$B$55,0)))</x:f>
      </x:c>
      <x:c r="W40" s="28" t="str">
        <x:f>IF(B40="","",INDEX(Obliczenia!$W$6:$W$55,MATCH(B40,Obliczenia!$B$6:$B$55,0)))</x:f>
      </x:c>
      <x:c r="X40" s="17" t="str">
        <x:f>IF(B40="","",INDEX(Obliczenia!$X$6:$X$55,MATCH(B40,Obliczenia!$B$6:$B$55,0)))</x:f>
      </x:c>
      <x:c r="Y40" s="29" t="str">
        <x:f>IF(B40="","",INDEX(Obliczenia!$Y$6:$Y$55,MATCH(B40,Obliczenia!$B$6:$B$55,0)))</x:f>
      </x:c>
      <x:c r="Z40" s="30" t="str">
        <x:f>IF(B40="","",INDEX(Obliczenia!$Z$6:$Z$55,MATCH(B40,Obliczenia!$B$6:$B$55,0)))</x:f>
      </x:c>
    </x:row>
    <x:row r="41">
      <x:c r="A41" s="33" t="str">
        <x:f>IF(B41="","",1+COUNTIF($Y$6:$Y$55,"&gt;"&amp;Y41))</x:f>
      </x:c>
      <x:c r="B41" s="17" t="str">
        <x:f>IFERROR(INDEX(Obliczenia!$B$6:$B$55,MATCH(LARGE(Obliczenia!$AA$6:$AA$55,36),Obliczenia!$AA$6:$AA$55,0)),"")</x:f>
      </x:c>
      <x:c r="C41" s="17" t="str">
        <x:f>IF(B41="","",INDEX(Obliczenia!$C$6:$C$55,MATCH(B41,Obliczenia!$B$6:$B$55,0)))</x:f>
      </x:c>
      <x:c r="D41" s="28" t="str">
        <x:f>IF(B41="","",INDEX(Obliczenia!$D$6:$D$55,MATCH(B41,Obliczenia!$B$6:$B$55,0)))</x:f>
      </x:c>
      <x:c r="E41" s="28" t="str">
        <x:f>IF(B41="","",INDEX(Obliczenia!$E$6:$E$55,MATCH(B41,Obliczenia!$B$6:$B$55,0)))</x:f>
      </x:c>
      <x:c r="F41" s="28" t="str">
        <x:f>IF(B41="","",INDEX(Obliczenia!$F$6:$F$55,MATCH(B41,Obliczenia!$B$6:$B$55,0)))</x:f>
      </x:c>
      <x:c r="G41" s="28" t="str">
        <x:f>IF(B41="","",INDEX(Obliczenia!$G$6:$G$55,MATCH(B41,Obliczenia!$B$6:$B$55,0)))</x:f>
      </x:c>
      <x:c r="H41" s="28" t="str">
        <x:f>IF(B41="","",INDEX(Obliczenia!$H$6:$H$55,MATCH(B41,Obliczenia!$B$6:$B$55,0)))</x:f>
      </x:c>
      <x:c r="I41" s="28" t="str">
        <x:f>IF(B41="","",INDEX(Obliczenia!$I$6:$I$55,MATCH(B41,Obliczenia!$B$6:$B$55,0)))</x:f>
      </x:c>
      <x:c r="J41" s="28" t="str">
        <x:f>IF(B41="","",INDEX(Obliczenia!$J$6:$J$55,MATCH(B41,Obliczenia!$B$6:$B$55,0)))</x:f>
      </x:c>
      <x:c r="K41" s="28" t="str">
        <x:f>IF(B41="","",INDEX(Obliczenia!$K$6:$K$55,MATCH(B41,Obliczenia!$B$6:$B$55,0)))</x:f>
      </x:c>
      <x:c r="L41" s="28" t="str">
        <x:f>IF(B41="","",INDEX(Obliczenia!$L$6:$L$55,MATCH(B41,Obliczenia!$B$6:$B$55,0)))</x:f>
      </x:c>
      <x:c r="M41" s="28" t="str">
        <x:f>IF(B41="","",INDEX(Obliczenia!$M$6:$M$55,MATCH(B41,Obliczenia!$B$6:$B$55,0)))</x:f>
      </x:c>
      <x:c r="N41" s="28" t="str">
        <x:f>IF(B41="","",INDEX(Obliczenia!$N$6:$N$55,MATCH(B41,Obliczenia!$B$6:$B$55,0)))</x:f>
      </x:c>
      <x:c r="O41" s="28" t="str">
        <x:f>IF(B41="","",INDEX(Obliczenia!$O$6:$O$55,MATCH(B41,Obliczenia!$B$6:$B$55,0)))</x:f>
      </x:c>
      <x:c r="P41" s="28" t="str">
        <x:f>IF(B41="","",INDEX(Obliczenia!$P$6:$P$55,MATCH(B41,Obliczenia!$B$6:$B$55,0)))</x:f>
      </x:c>
      <x:c r="Q41" s="28" t="str">
        <x:f>IF(B41="","",INDEX(Obliczenia!$Q$6:$Q$55,MATCH(B41,Obliczenia!$B$6:$B$55,0)))</x:f>
      </x:c>
      <x:c r="R41" s="28" t="str">
        <x:f>IF(B41="","",INDEX(Obliczenia!$R$6:$R$55,MATCH(B41,Obliczenia!$B$6:$B$55,0)))</x:f>
      </x:c>
      <x:c r="S41" s="28" t="str">
        <x:f>IF(B41="","",INDEX(Obliczenia!$S$6:$S$55,MATCH(B41,Obliczenia!$B$6:$B$55,0)))</x:f>
      </x:c>
      <x:c r="T41" s="28" t="str">
        <x:f>IF(B41="","",INDEX(Obliczenia!$T$6:$T$55,MATCH(B41,Obliczenia!$B$6:$B$55,0)))</x:f>
      </x:c>
      <x:c r="U41" s="28" t="str">
        <x:f>IF(B41="","",INDEX(Obliczenia!$U$6:$U$55,MATCH(B41,Obliczenia!$B$6:$B$55,0)))</x:f>
      </x:c>
      <x:c r="V41" s="28" t="str">
        <x:f>IF(B41="","",INDEX(Obliczenia!$V$6:$V$55,MATCH(B41,Obliczenia!$B$6:$B$55,0)))</x:f>
      </x:c>
      <x:c r="W41" s="28" t="str">
        <x:f>IF(B41="","",INDEX(Obliczenia!$W$6:$W$55,MATCH(B41,Obliczenia!$B$6:$B$55,0)))</x:f>
      </x:c>
      <x:c r="X41" s="17" t="str">
        <x:f>IF(B41="","",INDEX(Obliczenia!$X$6:$X$55,MATCH(B41,Obliczenia!$B$6:$B$55,0)))</x:f>
      </x:c>
      <x:c r="Y41" s="29" t="str">
        <x:f>IF(B41="","",INDEX(Obliczenia!$Y$6:$Y$55,MATCH(B41,Obliczenia!$B$6:$B$55,0)))</x:f>
      </x:c>
      <x:c r="Z41" s="30" t="str">
        <x:f>IF(B41="","",INDEX(Obliczenia!$Z$6:$Z$55,MATCH(B41,Obliczenia!$B$6:$B$55,0)))</x:f>
      </x:c>
    </x:row>
    <x:row r="42">
      <x:c r="A42" s="33" t="str">
        <x:f>IF(B42="","",1+COUNTIF($Y$6:$Y$55,"&gt;"&amp;Y42))</x:f>
      </x:c>
      <x:c r="B42" s="17" t="str">
        <x:f>IFERROR(INDEX(Obliczenia!$B$6:$B$55,MATCH(LARGE(Obliczenia!$AA$6:$AA$55,37),Obliczenia!$AA$6:$AA$55,0)),"")</x:f>
      </x:c>
      <x:c r="C42" s="17" t="str">
        <x:f>IF(B42="","",INDEX(Obliczenia!$C$6:$C$55,MATCH(B42,Obliczenia!$B$6:$B$55,0)))</x:f>
      </x:c>
      <x:c r="D42" s="28" t="str">
        <x:f>IF(B42="","",INDEX(Obliczenia!$D$6:$D$55,MATCH(B42,Obliczenia!$B$6:$B$55,0)))</x:f>
      </x:c>
      <x:c r="E42" s="28" t="str">
        <x:f>IF(B42="","",INDEX(Obliczenia!$E$6:$E$55,MATCH(B42,Obliczenia!$B$6:$B$55,0)))</x:f>
      </x:c>
      <x:c r="F42" s="28" t="str">
        <x:f>IF(B42="","",INDEX(Obliczenia!$F$6:$F$55,MATCH(B42,Obliczenia!$B$6:$B$55,0)))</x:f>
      </x:c>
      <x:c r="G42" s="28" t="str">
        <x:f>IF(B42="","",INDEX(Obliczenia!$G$6:$G$55,MATCH(B42,Obliczenia!$B$6:$B$55,0)))</x:f>
      </x:c>
      <x:c r="H42" s="28" t="str">
        <x:f>IF(B42="","",INDEX(Obliczenia!$H$6:$H$55,MATCH(B42,Obliczenia!$B$6:$B$55,0)))</x:f>
      </x:c>
      <x:c r="I42" s="28" t="str">
        <x:f>IF(B42="","",INDEX(Obliczenia!$I$6:$I$55,MATCH(B42,Obliczenia!$B$6:$B$55,0)))</x:f>
      </x:c>
      <x:c r="J42" s="28" t="str">
        <x:f>IF(B42="","",INDEX(Obliczenia!$J$6:$J$55,MATCH(B42,Obliczenia!$B$6:$B$55,0)))</x:f>
      </x:c>
      <x:c r="K42" s="28" t="str">
        <x:f>IF(B42="","",INDEX(Obliczenia!$K$6:$K$55,MATCH(B42,Obliczenia!$B$6:$B$55,0)))</x:f>
      </x:c>
      <x:c r="L42" s="28" t="str">
        <x:f>IF(B42="","",INDEX(Obliczenia!$L$6:$L$55,MATCH(B42,Obliczenia!$B$6:$B$55,0)))</x:f>
      </x:c>
      <x:c r="M42" s="28" t="str">
        <x:f>IF(B42="","",INDEX(Obliczenia!$M$6:$M$55,MATCH(B42,Obliczenia!$B$6:$B$55,0)))</x:f>
      </x:c>
      <x:c r="N42" s="28" t="str">
        <x:f>IF(B42="","",INDEX(Obliczenia!$N$6:$N$55,MATCH(B42,Obliczenia!$B$6:$B$55,0)))</x:f>
      </x:c>
      <x:c r="O42" s="28" t="str">
        <x:f>IF(B42="","",INDEX(Obliczenia!$O$6:$O$55,MATCH(B42,Obliczenia!$B$6:$B$55,0)))</x:f>
      </x:c>
      <x:c r="P42" s="28" t="str">
        <x:f>IF(B42="","",INDEX(Obliczenia!$P$6:$P$55,MATCH(B42,Obliczenia!$B$6:$B$55,0)))</x:f>
      </x:c>
      <x:c r="Q42" s="28" t="str">
        <x:f>IF(B42="","",INDEX(Obliczenia!$Q$6:$Q$55,MATCH(B42,Obliczenia!$B$6:$B$55,0)))</x:f>
      </x:c>
      <x:c r="R42" s="28" t="str">
        <x:f>IF(B42="","",INDEX(Obliczenia!$R$6:$R$55,MATCH(B42,Obliczenia!$B$6:$B$55,0)))</x:f>
      </x:c>
      <x:c r="S42" s="28" t="str">
        <x:f>IF(B42="","",INDEX(Obliczenia!$S$6:$S$55,MATCH(B42,Obliczenia!$B$6:$B$55,0)))</x:f>
      </x:c>
      <x:c r="T42" s="28" t="str">
        <x:f>IF(B42="","",INDEX(Obliczenia!$T$6:$T$55,MATCH(B42,Obliczenia!$B$6:$B$55,0)))</x:f>
      </x:c>
      <x:c r="U42" s="28" t="str">
        <x:f>IF(B42="","",INDEX(Obliczenia!$U$6:$U$55,MATCH(B42,Obliczenia!$B$6:$B$55,0)))</x:f>
      </x:c>
      <x:c r="V42" s="28" t="str">
        <x:f>IF(B42="","",INDEX(Obliczenia!$V$6:$V$55,MATCH(B42,Obliczenia!$B$6:$B$55,0)))</x:f>
      </x:c>
      <x:c r="W42" s="28" t="str">
        <x:f>IF(B42="","",INDEX(Obliczenia!$W$6:$W$55,MATCH(B42,Obliczenia!$B$6:$B$55,0)))</x:f>
      </x:c>
      <x:c r="X42" s="17" t="str">
        <x:f>IF(B42="","",INDEX(Obliczenia!$X$6:$X$55,MATCH(B42,Obliczenia!$B$6:$B$55,0)))</x:f>
      </x:c>
      <x:c r="Y42" s="29" t="str">
        <x:f>IF(B42="","",INDEX(Obliczenia!$Y$6:$Y$55,MATCH(B42,Obliczenia!$B$6:$B$55,0)))</x:f>
      </x:c>
      <x:c r="Z42" s="30" t="str">
        <x:f>IF(B42="","",INDEX(Obliczenia!$Z$6:$Z$55,MATCH(B42,Obliczenia!$B$6:$B$55,0)))</x:f>
      </x:c>
    </x:row>
    <x:row r="43">
      <x:c r="A43" s="33" t="str">
        <x:f>IF(B43="","",1+COUNTIF($Y$6:$Y$55,"&gt;"&amp;Y43))</x:f>
      </x:c>
      <x:c r="B43" s="17" t="str">
        <x:f>IFERROR(INDEX(Obliczenia!$B$6:$B$55,MATCH(LARGE(Obliczenia!$AA$6:$AA$55,38),Obliczenia!$AA$6:$AA$55,0)),"")</x:f>
      </x:c>
      <x:c r="C43" s="17" t="str">
        <x:f>IF(B43="","",INDEX(Obliczenia!$C$6:$C$55,MATCH(B43,Obliczenia!$B$6:$B$55,0)))</x:f>
      </x:c>
      <x:c r="D43" s="28" t="str">
        <x:f>IF(B43="","",INDEX(Obliczenia!$D$6:$D$55,MATCH(B43,Obliczenia!$B$6:$B$55,0)))</x:f>
      </x:c>
      <x:c r="E43" s="28" t="str">
        <x:f>IF(B43="","",INDEX(Obliczenia!$E$6:$E$55,MATCH(B43,Obliczenia!$B$6:$B$55,0)))</x:f>
      </x:c>
      <x:c r="F43" s="28" t="str">
        <x:f>IF(B43="","",INDEX(Obliczenia!$F$6:$F$55,MATCH(B43,Obliczenia!$B$6:$B$55,0)))</x:f>
      </x:c>
      <x:c r="G43" s="28" t="str">
        <x:f>IF(B43="","",INDEX(Obliczenia!$G$6:$G$55,MATCH(B43,Obliczenia!$B$6:$B$55,0)))</x:f>
      </x:c>
      <x:c r="H43" s="28" t="str">
        <x:f>IF(B43="","",INDEX(Obliczenia!$H$6:$H$55,MATCH(B43,Obliczenia!$B$6:$B$55,0)))</x:f>
      </x:c>
      <x:c r="I43" s="28" t="str">
        <x:f>IF(B43="","",INDEX(Obliczenia!$I$6:$I$55,MATCH(B43,Obliczenia!$B$6:$B$55,0)))</x:f>
      </x:c>
      <x:c r="J43" s="28" t="str">
        <x:f>IF(B43="","",INDEX(Obliczenia!$J$6:$J$55,MATCH(B43,Obliczenia!$B$6:$B$55,0)))</x:f>
      </x:c>
      <x:c r="K43" s="28" t="str">
        <x:f>IF(B43="","",INDEX(Obliczenia!$K$6:$K$55,MATCH(B43,Obliczenia!$B$6:$B$55,0)))</x:f>
      </x:c>
      <x:c r="L43" s="28" t="str">
        <x:f>IF(B43="","",INDEX(Obliczenia!$L$6:$L$55,MATCH(B43,Obliczenia!$B$6:$B$55,0)))</x:f>
      </x:c>
      <x:c r="M43" s="28" t="str">
        <x:f>IF(B43="","",INDEX(Obliczenia!$M$6:$M$55,MATCH(B43,Obliczenia!$B$6:$B$55,0)))</x:f>
      </x:c>
      <x:c r="N43" s="28" t="str">
        <x:f>IF(B43="","",INDEX(Obliczenia!$N$6:$N$55,MATCH(B43,Obliczenia!$B$6:$B$55,0)))</x:f>
      </x:c>
      <x:c r="O43" s="28" t="str">
        <x:f>IF(B43="","",INDEX(Obliczenia!$O$6:$O$55,MATCH(B43,Obliczenia!$B$6:$B$55,0)))</x:f>
      </x:c>
      <x:c r="P43" s="28" t="str">
        <x:f>IF(B43="","",INDEX(Obliczenia!$P$6:$P$55,MATCH(B43,Obliczenia!$B$6:$B$55,0)))</x:f>
      </x:c>
      <x:c r="Q43" s="28" t="str">
        <x:f>IF(B43="","",INDEX(Obliczenia!$Q$6:$Q$55,MATCH(B43,Obliczenia!$B$6:$B$55,0)))</x:f>
      </x:c>
      <x:c r="R43" s="28" t="str">
        <x:f>IF(B43="","",INDEX(Obliczenia!$R$6:$R$55,MATCH(B43,Obliczenia!$B$6:$B$55,0)))</x:f>
      </x:c>
      <x:c r="S43" s="28" t="str">
        <x:f>IF(B43="","",INDEX(Obliczenia!$S$6:$S$55,MATCH(B43,Obliczenia!$B$6:$B$55,0)))</x:f>
      </x:c>
      <x:c r="T43" s="28" t="str">
        <x:f>IF(B43="","",INDEX(Obliczenia!$T$6:$T$55,MATCH(B43,Obliczenia!$B$6:$B$55,0)))</x:f>
      </x:c>
      <x:c r="U43" s="28" t="str">
        <x:f>IF(B43="","",INDEX(Obliczenia!$U$6:$U$55,MATCH(B43,Obliczenia!$B$6:$B$55,0)))</x:f>
      </x:c>
      <x:c r="V43" s="28" t="str">
        <x:f>IF(B43="","",INDEX(Obliczenia!$V$6:$V$55,MATCH(B43,Obliczenia!$B$6:$B$55,0)))</x:f>
      </x:c>
      <x:c r="W43" s="28" t="str">
        <x:f>IF(B43="","",INDEX(Obliczenia!$W$6:$W$55,MATCH(B43,Obliczenia!$B$6:$B$55,0)))</x:f>
      </x:c>
      <x:c r="X43" s="17" t="str">
        <x:f>IF(B43="","",INDEX(Obliczenia!$X$6:$X$55,MATCH(B43,Obliczenia!$B$6:$B$55,0)))</x:f>
      </x:c>
      <x:c r="Y43" s="29" t="str">
        <x:f>IF(B43="","",INDEX(Obliczenia!$Y$6:$Y$55,MATCH(B43,Obliczenia!$B$6:$B$55,0)))</x:f>
      </x:c>
      <x:c r="Z43" s="30" t="str">
        <x:f>IF(B43="","",INDEX(Obliczenia!$Z$6:$Z$55,MATCH(B43,Obliczenia!$B$6:$B$55,0)))</x:f>
      </x:c>
    </x:row>
    <x:row r="44">
      <x:c r="A44" s="33" t="str">
        <x:f>IF(B44="","",1+COUNTIF($Y$6:$Y$55,"&gt;"&amp;Y44))</x:f>
      </x:c>
      <x:c r="B44" s="17" t="str">
        <x:f>IFERROR(INDEX(Obliczenia!$B$6:$B$55,MATCH(LARGE(Obliczenia!$AA$6:$AA$55,39),Obliczenia!$AA$6:$AA$55,0)),"")</x:f>
      </x:c>
      <x:c r="C44" s="17" t="str">
        <x:f>IF(B44="","",INDEX(Obliczenia!$C$6:$C$55,MATCH(B44,Obliczenia!$B$6:$B$55,0)))</x:f>
      </x:c>
      <x:c r="D44" s="28" t="str">
        <x:f>IF(B44="","",INDEX(Obliczenia!$D$6:$D$55,MATCH(B44,Obliczenia!$B$6:$B$55,0)))</x:f>
      </x:c>
      <x:c r="E44" s="28" t="str">
        <x:f>IF(B44="","",INDEX(Obliczenia!$E$6:$E$55,MATCH(B44,Obliczenia!$B$6:$B$55,0)))</x:f>
      </x:c>
      <x:c r="F44" s="28" t="str">
        <x:f>IF(B44="","",INDEX(Obliczenia!$F$6:$F$55,MATCH(B44,Obliczenia!$B$6:$B$55,0)))</x:f>
      </x:c>
      <x:c r="G44" s="28" t="str">
        <x:f>IF(B44="","",INDEX(Obliczenia!$G$6:$G$55,MATCH(B44,Obliczenia!$B$6:$B$55,0)))</x:f>
      </x:c>
      <x:c r="H44" s="28" t="str">
        <x:f>IF(B44="","",INDEX(Obliczenia!$H$6:$H$55,MATCH(B44,Obliczenia!$B$6:$B$55,0)))</x:f>
      </x:c>
      <x:c r="I44" s="28" t="str">
        <x:f>IF(B44="","",INDEX(Obliczenia!$I$6:$I$55,MATCH(B44,Obliczenia!$B$6:$B$55,0)))</x:f>
      </x:c>
      <x:c r="J44" s="28" t="str">
        <x:f>IF(B44="","",INDEX(Obliczenia!$J$6:$J$55,MATCH(B44,Obliczenia!$B$6:$B$55,0)))</x:f>
      </x:c>
      <x:c r="K44" s="28" t="str">
        <x:f>IF(B44="","",INDEX(Obliczenia!$K$6:$K$55,MATCH(B44,Obliczenia!$B$6:$B$55,0)))</x:f>
      </x:c>
      <x:c r="L44" s="28" t="str">
        <x:f>IF(B44="","",INDEX(Obliczenia!$L$6:$L$55,MATCH(B44,Obliczenia!$B$6:$B$55,0)))</x:f>
      </x:c>
      <x:c r="M44" s="28" t="str">
        <x:f>IF(B44="","",INDEX(Obliczenia!$M$6:$M$55,MATCH(B44,Obliczenia!$B$6:$B$55,0)))</x:f>
      </x:c>
      <x:c r="N44" s="28" t="str">
        <x:f>IF(B44="","",INDEX(Obliczenia!$N$6:$N$55,MATCH(B44,Obliczenia!$B$6:$B$55,0)))</x:f>
      </x:c>
      <x:c r="O44" s="28" t="str">
        <x:f>IF(B44="","",INDEX(Obliczenia!$O$6:$O$55,MATCH(B44,Obliczenia!$B$6:$B$55,0)))</x:f>
      </x:c>
      <x:c r="P44" s="28" t="str">
        <x:f>IF(B44="","",INDEX(Obliczenia!$P$6:$P$55,MATCH(B44,Obliczenia!$B$6:$B$55,0)))</x:f>
      </x:c>
      <x:c r="Q44" s="28" t="str">
        <x:f>IF(B44="","",INDEX(Obliczenia!$Q$6:$Q$55,MATCH(B44,Obliczenia!$B$6:$B$55,0)))</x:f>
      </x:c>
      <x:c r="R44" s="28" t="str">
        <x:f>IF(B44="","",INDEX(Obliczenia!$R$6:$R$55,MATCH(B44,Obliczenia!$B$6:$B$55,0)))</x:f>
      </x:c>
      <x:c r="S44" s="28" t="str">
        <x:f>IF(B44="","",INDEX(Obliczenia!$S$6:$S$55,MATCH(B44,Obliczenia!$B$6:$B$55,0)))</x:f>
      </x:c>
      <x:c r="T44" s="28" t="str">
        <x:f>IF(B44="","",INDEX(Obliczenia!$T$6:$T$55,MATCH(B44,Obliczenia!$B$6:$B$55,0)))</x:f>
      </x:c>
      <x:c r="U44" s="28" t="str">
        <x:f>IF(B44="","",INDEX(Obliczenia!$U$6:$U$55,MATCH(B44,Obliczenia!$B$6:$B$55,0)))</x:f>
      </x:c>
      <x:c r="V44" s="28" t="str">
        <x:f>IF(B44="","",INDEX(Obliczenia!$V$6:$V$55,MATCH(B44,Obliczenia!$B$6:$B$55,0)))</x:f>
      </x:c>
      <x:c r="W44" s="28" t="str">
        <x:f>IF(B44="","",INDEX(Obliczenia!$W$6:$W$55,MATCH(B44,Obliczenia!$B$6:$B$55,0)))</x:f>
      </x:c>
      <x:c r="X44" s="17" t="str">
        <x:f>IF(B44="","",INDEX(Obliczenia!$X$6:$X$55,MATCH(B44,Obliczenia!$B$6:$B$55,0)))</x:f>
      </x:c>
      <x:c r="Y44" s="29" t="str">
        <x:f>IF(B44="","",INDEX(Obliczenia!$Y$6:$Y$55,MATCH(B44,Obliczenia!$B$6:$B$55,0)))</x:f>
      </x:c>
      <x:c r="Z44" s="30" t="str">
        <x:f>IF(B44="","",INDEX(Obliczenia!$Z$6:$Z$55,MATCH(B44,Obliczenia!$B$6:$B$55,0)))</x:f>
      </x:c>
    </x:row>
    <x:row r="45">
      <x:c r="A45" s="33" t="str">
        <x:f>IF(B45="","",1+COUNTIF($Y$6:$Y$55,"&gt;"&amp;Y45))</x:f>
      </x:c>
      <x:c r="B45" s="17" t="str">
        <x:f>IFERROR(INDEX(Obliczenia!$B$6:$B$55,MATCH(LARGE(Obliczenia!$AA$6:$AA$55,40),Obliczenia!$AA$6:$AA$55,0)),"")</x:f>
      </x:c>
      <x:c r="C45" s="17" t="str">
        <x:f>IF(B45="","",INDEX(Obliczenia!$C$6:$C$55,MATCH(B45,Obliczenia!$B$6:$B$55,0)))</x:f>
      </x:c>
      <x:c r="D45" s="28" t="str">
        <x:f>IF(B45="","",INDEX(Obliczenia!$D$6:$D$55,MATCH(B45,Obliczenia!$B$6:$B$55,0)))</x:f>
      </x:c>
      <x:c r="E45" s="28" t="str">
        <x:f>IF(B45="","",INDEX(Obliczenia!$E$6:$E$55,MATCH(B45,Obliczenia!$B$6:$B$55,0)))</x:f>
      </x:c>
      <x:c r="F45" s="28" t="str">
        <x:f>IF(B45="","",INDEX(Obliczenia!$F$6:$F$55,MATCH(B45,Obliczenia!$B$6:$B$55,0)))</x:f>
      </x:c>
      <x:c r="G45" s="28" t="str">
        <x:f>IF(B45="","",INDEX(Obliczenia!$G$6:$G$55,MATCH(B45,Obliczenia!$B$6:$B$55,0)))</x:f>
      </x:c>
      <x:c r="H45" s="28" t="str">
        <x:f>IF(B45="","",INDEX(Obliczenia!$H$6:$H$55,MATCH(B45,Obliczenia!$B$6:$B$55,0)))</x:f>
      </x:c>
      <x:c r="I45" s="28" t="str">
        <x:f>IF(B45="","",INDEX(Obliczenia!$I$6:$I$55,MATCH(B45,Obliczenia!$B$6:$B$55,0)))</x:f>
      </x:c>
      <x:c r="J45" s="28" t="str">
        <x:f>IF(B45="","",INDEX(Obliczenia!$J$6:$J$55,MATCH(B45,Obliczenia!$B$6:$B$55,0)))</x:f>
      </x:c>
      <x:c r="K45" s="28" t="str">
        <x:f>IF(B45="","",INDEX(Obliczenia!$K$6:$K$55,MATCH(B45,Obliczenia!$B$6:$B$55,0)))</x:f>
      </x:c>
      <x:c r="L45" s="28" t="str">
        <x:f>IF(B45="","",INDEX(Obliczenia!$L$6:$L$55,MATCH(B45,Obliczenia!$B$6:$B$55,0)))</x:f>
      </x:c>
      <x:c r="M45" s="28" t="str">
        <x:f>IF(B45="","",INDEX(Obliczenia!$M$6:$M$55,MATCH(B45,Obliczenia!$B$6:$B$55,0)))</x:f>
      </x:c>
      <x:c r="N45" s="28" t="str">
        <x:f>IF(B45="","",INDEX(Obliczenia!$N$6:$N$55,MATCH(B45,Obliczenia!$B$6:$B$55,0)))</x:f>
      </x:c>
      <x:c r="O45" s="28" t="str">
        <x:f>IF(B45="","",INDEX(Obliczenia!$O$6:$O$55,MATCH(B45,Obliczenia!$B$6:$B$55,0)))</x:f>
      </x:c>
      <x:c r="P45" s="28" t="str">
        <x:f>IF(B45="","",INDEX(Obliczenia!$P$6:$P$55,MATCH(B45,Obliczenia!$B$6:$B$55,0)))</x:f>
      </x:c>
      <x:c r="Q45" s="28" t="str">
        <x:f>IF(B45="","",INDEX(Obliczenia!$Q$6:$Q$55,MATCH(B45,Obliczenia!$B$6:$B$55,0)))</x:f>
      </x:c>
      <x:c r="R45" s="28" t="str">
        <x:f>IF(B45="","",INDEX(Obliczenia!$R$6:$R$55,MATCH(B45,Obliczenia!$B$6:$B$55,0)))</x:f>
      </x:c>
      <x:c r="S45" s="28" t="str">
        <x:f>IF(B45="","",INDEX(Obliczenia!$S$6:$S$55,MATCH(B45,Obliczenia!$B$6:$B$55,0)))</x:f>
      </x:c>
      <x:c r="T45" s="28" t="str">
        <x:f>IF(B45="","",INDEX(Obliczenia!$T$6:$T$55,MATCH(B45,Obliczenia!$B$6:$B$55,0)))</x:f>
      </x:c>
      <x:c r="U45" s="28" t="str">
        <x:f>IF(B45="","",INDEX(Obliczenia!$U$6:$U$55,MATCH(B45,Obliczenia!$B$6:$B$55,0)))</x:f>
      </x:c>
      <x:c r="V45" s="28" t="str">
        <x:f>IF(B45="","",INDEX(Obliczenia!$V$6:$V$55,MATCH(B45,Obliczenia!$B$6:$B$55,0)))</x:f>
      </x:c>
      <x:c r="W45" s="28" t="str">
        <x:f>IF(B45="","",INDEX(Obliczenia!$W$6:$W$55,MATCH(B45,Obliczenia!$B$6:$B$55,0)))</x:f>
      </x:c>
      <x:c r="X45" s="17" t="str">
        <x:f>IF(B45="","",INDEX(Obliczenia!$X$6:$X$55,MATCH(B45,Obliczenia!$B$6:$B$55,0)))</x:f>
      </x:c>
      <x:c r="Y45" s="29" t="str">
        <x:f>IF(B45="","",INDEX(Obliczenia!$Y$6:$Y$55,MATCH(B45,Obliczenia!$B$6:$B$55,0)))</x:f>
      </x:c>
      <x:c r="Z45" s="30" t="str">
        <x:f>IF(B45="","",INDEX(Obliczenia!$Z$6:$Z$55,MATCH(B45,Obliczenia!$B$6:$B$55,0)))</x:f>
      </x:c>
    </x:row>
    <x:row r="46">
      <x:c r="A46" s="33" t="str">
        <x:f>IF(B46="","",1+COUNTIF($Y$6:$Y$55,"&gt;"&amp;Y46))</x:f>
      </x:c>
      <x:c r="B46" s="17" t="str">
        <x:f>IFERROR(INDEX(Obliczenia!$B$6:$B$55,MATCH(LARGE(Obliczenia!$AA$6:$AA$55,41),Obliczenia!$AA$6:$AA$55,0)),"")</x:f>
      </x:c>
      <x:c r="C46" s="17" t="str">
        <x:f>IF(B46="","",INDEX(Obliczenia!$C$6:$C$55,MATCH(B46,Obliczenia!$B$6:$B$55,0)))</x:f>
      </x:c>
      <x:c r="D46" s="28" t="str">
        <x:f>IF(B46="","",INDEX(Obliczenia!$D$6:$D$55,MATCH(B46,Obliczenia!$B$6:$B$55,0)))</x:f>
      </x:c>
      <x:c r="E46" s="28" t="str">
        <x:f>IF(B46="","",INDEX(Obliczenia!$E$6:$E$55,MATCH(B46,Obliczenia!$B$6:$B$55,0)))</x:f>
      </x:c>
      <x:c r="F46" s="28" t="str">
        <x:f>IF(B46="","",INDEX(Obliczenia!$F$6:$F$55,MATCH(B46,Obliczenia!$B$6:$B$55,0)))</x:f>
      </x:c>
      <x:c r="G46" s="28" t="str">
        <x:f>IF(B46="","",INDEX(Obliczenia!$G$6:$G$55,MATCH(B46,Obliczenia!$B$6:$B$55,0)))</x:f>
      </x:c>
      <x:c r="H46" s="28" t="str">
        <x:f>IF(B46="","",INDEX(Obliczenia!$H$6:$H$55,MATCH(B46,Obliczenia!$B$6:$B$55,0)))</x:f>
      </x:c>
      <x:c r="I46" s="28" t="str">
        <x:f>IF(B46="","",INDEX(Obliczenia!$I$6:$I$55,MATCH(B46,Obliczenia!$B$6:$B$55,0)))</x:f>
      </x:c>
      <x:c r="J46" s="28" t="str">
        <x:f>IF(B46="","",INDEX(Obliczenia!$J$6:$J$55,MATCH(B46,Obliczenia!$B$6:$B$55,0)))</x:f>
      </x:c>
      <x:c r="K46" s="28" t="str">
        <x:f>IF(B46="","",INDEX(Obliczenia!$K$6:$K$55,MATCH(B46,Obliczenia!$B$6:$B$55,0)))</x:f>
      </x:c>
      <x:c r="L46" s="28" t="str">
        <x:f>IF(B46="","",INDEX(Obliczenia!$L$6:$L$55,MATCH(B46,Obliczenia!$B$6:$B$55,0)))</x:f>
      </x:c>
      <x:c r="M46" s="28" t="str">
        <x:f>IF(B46="","",INDEX(Obliczenia!$M$6:$M$55,MATCH(B46,Obliczenia!$B$6:$B$55,0)))</x:f>
      </x:c>
      <x:c r="N46" s="28" t="str">
        <x:f>IF(B46="","",INDEX(Obliczenia!$N$6:$N$55,MATCH(B46,Obliczenia!$B$6:$B$55,0)))</x:f>
      </x:c>
      <x:c r="O46" s="28" t="str">
        <x:f>IF(B46="","",INDEX(Obliczenia!$O$6:$O$55,MATCH(B46,Obliczenia!$B$6:$B$55,0)))</x:f>
      </x:c>
      <x:c r="P46" s="28" t="str">
        <x:f>IF(B46="","",INDEX(Obliczenia!$P$6:$P$55,MATCH(B46,Obliczenia!$B$6:$B$55,0)))</x:f>
      </x:c>
      <x:c r="Q46" s="28" t="str">
        <x:f>IF(B46="","",INDEX(Obliczenia!$Q$6:$Q$55,MATCH(B46,Obliczenia!$B$6:$B$55,0)))</x:f>
      </x:c>
      <x:c r="R46" s="28" t="str">
        <x:f>IF(B46="","",INDEX(Obliczenia!$R$6:$R$55,MATCH(B46,Obliczenia!$B$6:$B$55,0)))</x:f>
      </x:c>
      <x:c r="S46" s="28" t="str">
        <x:f>IF(B46="","",INDEX(Obliczenia!$S$6:$S$55,MATCH(B46,Obliczenia!$B$6:$B$55,0)))</x:f>
      </x:c>
      <x:c r="T46" s="28" t="str">
        <x:f>IF(B46="","",INDEX(Obliczenia!$T$6:$T$55,MATCH(B46,Obliczenia!$B$6:$B$55,0)))</x:f>
      </x:c>
      <x:c r="U46" s="28" t="str">
        <x:f>IF(B46="","",INDEX(Obliczenia!$U$6:$U$55,MATCH(B46,Obliczenia!$B$6:$B$55,0)))</x:f>
      </x:c>
      <x:c r="V46" s="28" t="str">
        <x:f>IF(B46="","",INDEX(Obliczenia!$V$6:$V$55,MATCH(B46,Obliczenia!$B$6:$B$55,0)))</x:f>
      </x:c>
      <x:c r="W46" s="28" t="str">
        <x:f>IF(B46="","",INDEX(Obliczenia!$W$6:$W$55,MATCH(B46,Obliczenia!$B$6:$B$55,0)))</x:f>
      </x:c>
      <x:c r="X46" s="17" t="str">
        <x:f>IF(B46="","",INDEX(Obliczenia!$X$6:$X$55,MATCH(B46,Obliczenia!$B$6:$B$55,0)))</x:f>
      </x:c>
      <x:c r="Y46" s="29" t="str">
        <x:f>IF(B46="","",INDEX(Obliczenia!$Y$6:$Y$55,MATCH(B46,Obliczenia!$B$6:$B$55,0)))</x:f>
      </x:c>
      <x:c r="Z46" s="30" t="str">
        <x:f>IF(B46="","",INDEX(Obliczenia!$Z$6:$Z$55,MATCH(B46,Obliczenia!$B$6:$B$55,0)))</x:f>
      </x:c>
    </x:row>
    <x:row r="47">
      <x:c r="A47" s="33" t="str">
        <x:f>IF(B47="","",1+COUNTIF($Y$6:$Y$55,"&gt;"&amp;Y47))</x:f>
      </x:c>
      <x:c r="B47" s="17" t="str">
        <x:f>IFERROR(INDEX(Obliczenia!$B$6:$B$55,MATCH(LARGE(Obliczenia!$AA$6:$AA$55,42),Obliczenia!$AA$6:$AA$55,0)),"")</x:f>
      </x:c>
      <x:c r="C47" s="17" t="str">
        <x:f>IF(B47="","",INDEX(Obliczenia!$C$6:$C$55,MATCH(B47,Obliczenia!$B$6:$B$55,0)))</x:f>
      </x:c>
      <x:c r="D47" s="28" t="str">
        <x:f>IF(B47="","",INDEX(Obliczenia!$D$6:$D$55,MATCH(B47,Obliczenia!$B$6:$B$55,0)))</x:f>
      </x:c>
      <x:c r="E47" s="28" t="str">
        <x:f>IF(B47="","",INDEX(Obliczenia!$E$6:$E$55,MATCH(B47,Obliczenia!$B$6:$B$55,0)))</x:f>
      </x:c>
      <x:c r="F47" s="28" t="str">
        <x:f>IF(B47="","",INDEX(Obliczenia!$F$6:$F$55,MATCH(B47,Obliczenia!$B$6:$B$55,0)))</x:f>
      </x:c>
      <x:c r="G47" s="28" t="str">
        <x:f>IF(B47="","",INDEX(Obliczenia!$G$6:$G$55,MATCH(B47,Obliczenia!$B$6:$B$55,0)))</x:f>
      </x:c>
      <x:c r="H47" s="28" t="str">
        <x:f>IF(B47="","",INDEX(Obliczenia!$H$6:$H$55,MATCH(B47,Obliczenia!$B$6:$B$55,0)))</x:f>
      </x:c>
      <x:c r="I47" s="28" t="str">
        <x:f>IF(B47="","",INDEX(Obliczenia!$I$6:$I$55,MATCH(B47,Obliczenia!$B$6:$B$55,0)))</x:f>
      </x:c>
      <x:c r="J47" s="28" t="str">
        <x:f>IF(B47="","",INDEX(Obliczenia!$J$6:$J$55,MATCH(B47,Obliczenia!$B$6:$B$55,0)))</x:f>
      </x:c>
      <x:c r="K47" s="28" t="str">
        <x:f>IF(B47="","",INDEX(Obliczenia!$K$6:$K$55,MATCH(B47,Obliczenia!$B$6:$B$55,0)))</x:f>
      </x:c>
      <x:c r="L47" s="28" t="str">
        <x:f>IF(B47="","",INDEX(Obliczenia!$L$6:$L$55,MATCH(B47,Obliczenia!$B$6:$B$55,0)))</x:f>
      </x:c>
      <x:c r="M47" s="28" t="str">
        <x:f>IF(B47="","",INDEX(Obliczenia!$M$6:$M$55,MATCH(B47,Obliczenia!$B$6:$B$55,0)))</x:f>
      </x:c>
      <x:c r="N47" s="28" t="str">
        <x:f>IF(B47="","",INDEX(Obliczenia!$N$6:$N$55,MATCH(B47,Obliczenia!$B$6:$B$55,0)))</x:f>
      </x:c>
      <x:c r="O47" s="28" t="str">
        <x:f>IF(B47="","",INDEX(Obliczenia!$O$6:$O$55,MATCH(B47,Obliczenia!$B$6:$B$55,0)))</x:f>
      </x:c>
      <x:c r="P47" s="28" t="str">
        <x:f>IF(B47="","",INDEX(Obliczenia!$P$6:$P$55,MATCH(B47,Obliczenia!$B$6:$B$55,0)))</x:f>
      </x:c>
      <x:c r="Q47" s="28" t="str">
        <x:f>IF(B47="","",INDEX(Obliczenia!$Q$6:$Q$55,MATCH(B47,Obliczenia!$B$6:$B$55,0)))</x:f>
      </x:c>
      <x:c r="R47" s="28" t="str">
        <x:f>IF(B47="","",INDEX(Obliczenia!$R$6:$R$55,MATCH(B47,Obliczenia!$B$6:$B$55,0)))</x:f>
      </x:c>
      <x:c r="S47" s="28" t="str">
        <x:f>IF(B47="","",INDEX(Obliczenia!$S$6:$S$55,MATCH(B47,Obliczenia!$B$6:$B$55,0)))</x:f>
      </x:c>
      <x:c r="T47" s="28" t="str">
        <x:f>IF(B47="","",INDEX(Obliczenia!$T$6:$T$55,MATCH(B47,Obliczenia!$B$6:$B$55,0)))</x:f>
      </x:c>
      <x:c r="U47" s="28" t="str">
        <x:f>IF(B47="","",INDEX(Obliczenia!$U$6:$U$55,MATCH(B47,Obliczenia!$B$6:$B$55,0)))</x:f>
      </x:c>
      <x:c r="V47" s="28" t="str">
        <x:f>IF(B47="","",INDEX(Obliczenia!$V$6:$V$55,MATCH(B47,Obliczenia!$B$6:$B$55,0)))</x:f>
      </x:c>
      <x:c r="W47" s="28" t="str">
        <x:f>IF(B47="","",INDEX(Obliczenia!$W$6:$W$55,MATCH(B47,Obliczenia!$B$6:$B$55,0)))</x:f>
      </x:c>
      <x:c r="X47" s="17" t="str">
        <x:f>IF(B47="","",INDEX(Obliczenia!$X$6:$X$55,MATCH(B47,Obliczenia!$B$6:$B$55,0)))</x:f>
      </x:c>
      <x:c r="Y47" s="29" t="str">
        <x:f>IF(B47="","",INDEX(Obliczenia!$Y$6:$Y$55,MATCH(B47,Obliczenia!$B$6:$B$55,0)))</x:f>
      </x:c>
      <x:c r="Z47" s="30" t="str">
        <x:f>IF(B47="","",INDEX(Obliczenia!$Z$6:$Z$55,MATCH(B47,Obliczenia!$B$6:$B$55,0)))</x:f>
      </x:c>
    </x:row>
    <x:row r="48">
      <x:c r="A48" s="33" t="str">
        <x:f>IF(B48="","",1+COUNTIF($Y$6:$Y$55,"&gt;"&amp;Y48))</x:f>
      </x:c>
      <x:c r="B48" s="17" t="str">
        <x:f>IFERROR(INDEX(Obliczenia!$B$6:$B$55,MATCH(LARGE(Obliczenia!$AA$6:$AA$55,43),Obliczenia!$AA$6:$AA$55,0)),"")</x:f>
      </x:c>
      <x:c r="C48" s="17" t="str">
        <x:f>IF(B48="","",INDEX(Obliczenia!$C$6:$C$55,MATCH(B48,Obliczenia!$B$6:$B$55,0)))</x:f>
      </x:c>
      <x:c r="D48" s="28" t="str">
        <x:f>IF(B48="","",INDEX(Obliczenia!$D$6:$D$55,MATCH(B48,Obliczenia!$B$6:$B$55,0)))</x:f>
      </x:c>
      <x:c r="E48" s="28" t="str">
        <x:f>IF(B48="","",INDEX(Obliczenia!$E$6:$E$55,MATCH(B48,Obliczenia!$B$6:$B$55,0)))</x:f>
      </x:c>
      <x:c r="F48" s="28" t="str">
        <x:f>IF(B48="","",INDEX(Obliczenia!$F$6:$F$55,MATCH(B48,Obliczenia!$B$6:$B$55,0)))</x:f>
      </x:c>
      <x:c r="G48" s="28" t="str">
        <x:f>IF(B48="","",INDEX(Obliczenia!$G$6:$G$55,MATCH(B48,Obliczenia!$B$6:$B$55,0)))</x:f>
      </x:c>
      <x:c r="H48" s="28" t="str">
        <x:f>IF(B48="","",INDEX(Obliczenia!$H$6:$H$55,MATCH(B48,Obliczenia!$B$6:$B$55,0)))</x:f>
      </x:c>
      <x:c r="I48" s="28" t="str">
        <x:f>IF(B48="","",INDEX(Obliczenia!$I$6:$I$55,MATCH(B48,Obliczenia!$B$6:$B$55,0)))</x:f>
      </x:c>
      <x:c r="J48" s="28" t="str">
        <x:f>IF(B48="","",INDEX(Obliczenia!$J$6:$J$55,MATCH(B48,Obliczenia!$B$6:$B$55,0)))</x:f>
      </x:c>
      <x:c r="K48" s="28" t="str">
        <x:f>IF(B48="","",INDEX(Obliczenia!$K$6:$K$55,MATCH(B48,Obliczenia!$B$6:$B$55,0)))</x:f>
      </x:c>
      <x:c r="L48" s="28" t="str">
        <x:f>IF(B48="","",INDEX(Obliczenia!$L$6:$L$55,MATCH(B48,Obliczenia!$B$6:$B$55,0)))</x:f>
      </x:c>
      <x:c r="M48" s="28" t="str">
        <x:f>IF(B48="","",INDEX(Obliczenia!$M$6:$M$55,MATCH(B48,Obliczenia!$B$6:$B$55,0)))</x:f>
      </x:c>
      <x:c r="N48" s="28" t="str">
        <x:f>IF(B48="","",INDEX(Obliczenia!$N$6:$N$55,MATCH(B48,Obliczenia!$B$6:$B$55,0)))</x:f>
      </x:c>
      <x:c r="O48" s="28" t="str">
        <x:f>IF(B48="","",INDEX(Obliczenia!$O$6:$O$55,MATCH(B48,Obliczenia!$B$6:$B$55,0)))</x:f>
      </x:c>
      <x:c r="P48" s="28" t="str">
        <x:f>IF(B48="","",INDEX(Obliczenia!$P$6:$P$55,MATCH(B48,Obliczenia!$B$6:$B$55,0)))</x:f>
      </x:c>
      <x:c r="Q48" s="28" t="str">
        <x:f>IF(B48="","",INDEX(Obliczenia!$Q$6:$Q$55,MATCH(B48,Obliczenia!$B$6:$B$55,0)))</x:f>
      </x:c>
      <x:c r="R48" s="28" t="str">
        <x:f>IF(B48="","",INDEX(Obliczenia!$R$6:$R$55,MATCH(B48,Obliczenia!$B$6:$B$55,0)))</x:f>
      </x:c>
      <x:c r="S48" s="28" t="str">
        <x:f>IF(B48="","",INDEX(Obliczenia!$S$6:$S$55,MATCH(B48,Obliczenia!$B$6:$B$55,0)))</x:f>
      </x:c>
      <x:c r="T48" s="28" t="str">
        <x:f>IF(B48="","",INDEX(Obliczenia!$T$6:$T$55,MATCH(B48,Obliczenia!$B$6:$B$55,0)))</x:f>
      </x:c>
      <x:c r="U48" s="28" t="str">
        <x:f>IF(B48="","",INDEX(Obliczenia!$U$6:$U$55,MATCH(B48,Obliczenia!$B$6:$B$55,0)))</x:f>
      </x:c>
      <x:c r="V48" s="28" t="str">
        <x:f>IF(B48="","",INDEX(Obliczenia!$V$6:$V$55,MATCH(B48,Obliczenia!$B$6:$B$55,0)))</x:f>
      </x:c>
      <x:c r="W48" s="28" t="str">
        <x:f>IF(B48="","",INDEX(Obliczenia!$W$6:$W$55,MATCH(B48,Obliczenia!$B$6:$B$55,0)))</x:f>
      </x:c>
      <x:c r="X48" s="17" t="str">
        <x:f>IF(B48="","",INDEX(Obliczenia!$X$6:$X$55,MATCH(B48,Obliczenia!$B$6:$B$55,0)))</x:f>
      </x:c>
      <x:c r="Y48" s="29" t="str">
        <x:f>IF(B48="","",INDEX(Obliczenia!$Y$6:$Y$55,MATCH(B48,Obliczenia!$B$6:$B$55,0)))</x:f>
      </x:c>
      <x:c r="Z48" s="30" t="str">
        <x:f>IF(B48="","",INDEX(Obliczenia!$Z$6:$Z$55,MATCH(B48,Obliczenia!$B$6:$B$55,0)))</x:f>
      </x:c>
    </x:row>
    <x:row r="49">
      <x:c r="A49" s="33" t="str">
        <x:f>IF(B49="","",1+COUNTIF($Y$6:$Y$55,"&gt;"&amp;Y49))</x:f>
      </x:c>
      <x:c r="B49" s="17" t="str">
        <x:f>IFERROR(INDEX(Obliczenia!$B$6:$B$55,MATCH(LARGE(Obliczenia!$AA$6:$AA$55,44),Obliczenia!$AA$6:$AA$55,0)),"")</x:f>
      </x:c>
      <x:c r="C49" s="17" t="str">
        <x:f>IF(B49="","",INDEX(Obliczenia!$C$6:$C$55,MATCH(B49,Obliczenia!$B$6:$B$55,0)))</x:f>
      </x:c>
      <x:c r="D49" s="28" t="str">
        <x:f>IF(B49="","",INDEX(Obliczenia!$D$6:$D$55,MATCH(B49,Obliczenia!$B$6:$B$55,0)))</x:f>
      </x:c>
      <x:c r="E49" s="28" t="str">
        <x:f>IF(B49="","",INDEX(Obliczenia!$E$6:$E$55,MATCH(B49,Obliczenia!$B$6:$B$55,0)))</x:f>
      </x:c>
      <x:c r="F49" s="28" t="str">
        <x:f>IF(B49="","",INDEX(Obliczenia!$F$6:$F$55,MATCH(B49,Obliczenia!$B$6:$B$55,0)))</x:f>
      </x:c>
      <x:c r="G49" s="28" t="str">
        <x:f>IF(B49="","",INDEX(Obliczenia!$G$6:$G$55,MATCH(B49,Obliczenia!$B$6:$B$55,0)))</x:f>
      </x:c>
      <x:c r="H49" s="28" t="str">
        <x:f>IF(B49="","",INDEX(Obliczenia!$H$6:$H$55,MATCH(B49,Obliczenia!$B$6:$B$55,0)))</x:f>
      </x:c>
      <x:c r="I49" s="28" t="str">
        <x:f>IF(B49="","",INDEX(Obliczenia!$I$6:$I$55,MATCH(B49,Obliczenia!$B$6:$B$55,0)))</x:f>
      </x:c>
      <x:c r="J49" s="28" t="str">
        <x:f>IF(B49="","",INDEX(Obliczenia!$J$6:$J$55,MATCH(B49,Obliczenia!$B$6:$B$55,0)))</x:f>
      </x:c>
      <x:c r="K49" s="28" t="str">
        <x:f>IF(B49="","",INDEX(Obliczenia!$K$6:$K$55,MATCH(B49,Obliczenia!$B$6:$B$55,0)))</x:f>
      </x:c>
      <x:c r="L49" s="28" t="str">
        <x:f>IF(B49="","",INDEX(Obliczenia!$L$6:$L$55,MATCH(B49,Obliczenia!$B$6:$B$55,0)))</x:f>
      </x:c>
      <x:c r="M49" s="28" t="str">
        <x:f>IF(B49="","",INDEX(Obliczenia!$M$6:$M$55,MATCH(B49,Obliczenia!$B$6:$B$55,0)))</x:f>
      </x:c>
      <x:c r="N49" s="28" t="str">
        <x:f>IF(B49="","",INDEX(Obliczenia!$N$6:$N$55,MATCH(B49,Obliczenia!$B$6:$B$55,0)))</x:f>
      </x:c>
      <x:c r="O49" s="28" t="str">
        <x:f>IF(B49="","",INDEX(Obliczenia!$O$6:$O$55,MATCH(B49,Obliczenia!$B$6:$B$55,0)))</x:f>
      </x:c>
      <x:c r="P49" s="28" t="str">
        <x:f>IF(B49="","",INDEX(Obliczenia!$P$6:$P$55,MATCH(B49,Obliczenia!$B$6:$B$55,0)))</x:f>
      </x:c>
      <x:c r="Q49" s="28" t="str">
        <x:f>IF(B49="","",INDEX(Obliczenia!$Q$6:$Q$55,MATCH(B49,Obliczenia!$B$6:$B$55,0)))</x:f>
      </x:c>
      <x:c r="R49" s="28" t="str">
        <x:f>IF(B49="","",INDEX(Obliczenia!$R$6:$R$55,MATCH(B49,Obliczenia!$B$6:$B$55,0)))</x:f>
      </x:c>
      <x:c r="S49" s="28" t="str">
        <x:f>IF(B49="","",INDEX(Obliczenia!$S$6:$S$55,MATCH(B49,Obliczenia!$B$6:$B$55,0)))</x:f>
      </x:c>
      <x:c r="T49" s="28" t="str">
        <x:f>IF(B49="","",INDEX(Obliczenia!$T$6:$T$55,MATCH(B49,Obliczenia!$B$6:$B$55,0)))</x:f>
      </x:c>
      <x:c r="U49" s="28" t="str">
        <x:f>IF(B49="","",INDEX(Obliczenia!$U$6:$U$55,MATCH(B49,Obliczenia!$B$6:$B$55,0)))</x:f>
      </x:c>
      <x:c r="V49" s="28" t="str">
        <x:f>IF(B49="","",INDEX(Obliczenia!$V$6:$V$55,MATCH(B49,Obliczenia!$B$6:$B$55,0)))</x:f>
      </x:c>
      <x:c r="W49" s="28" t="str">
        <x:f>IF(B49="","",INDEX(Obliczenia!$W$6:$W$55,MATCH(B49,Obliczenia!$B$6:$B$55,0)))</x:f>
      </x:c>
      <x:c r="X49" s="17" t="str">
        <x:f>IF(B49="","",INDEX(Obliczenia!$X$6:$X$55,MATCH(B49,Obliczenia!$B$6:$B$55,0)))</x:f>
      </x:c>
      <x:c r="Y49" s="29" t="str">
        <x:f>IF(B49="","",INDEX(Obliczenia!$Y$6:$Y$55,MATCH(B49,Obliczenia!$B$6:$B$55,0)))</x:f>
      </x:c>
      <x:c r="Z49" s="30" t="str">
        <x:f>IF(B49="","",INDEX(Obliczenia!$Z$6:$Z$55,MATCH(B49,Obliczenia!$B$6:$B$55,0)))</x:f>
      </x:c>
    </x:row>
    <x:row r="50">
      <x:c r="A50" s="33" t="str">
        <x:f>IF(B50="","",1+COUNTIF($Y$6:$Y$55,"&gt;"&amp;Y50))</x:f>
      </x:c>
      <x:c r="B50" s="17" t="str">
        <x:f>IFERROR(INDEX(Obliczenia!$B$6:$B$55,MATCH(LARGE(Obliczenia!$AA$6:$AA$55,45),Obliczenia!$AA$6:$AA$55,0)),"")</x:f>
      </x:c>
      <x:c r="C50" s="17" t="str">
        <x:f>IF(B50="","",INDEX(Obliczenia!$C$6:$C$55,MATCH(B50,Obliczenia!$B$6:$B$55,0)))</x:f>
      </x:c>
      <x:c r="D50" s="28" t="str">
        <x:f>IF(B50="","",INDEX(Obliczenia!$D$6:$D$55,MATCH(B50,Obliczenia!$B$6:$B$55,0)))</x:f>
      </x:c>
      <x:c r="E50" s="28" t="str">
        <x:f>IF(B50="","",INDEX(Obliczenia!$E$6:$E$55,MATCH(B50,Obliczenia!$B$6:$B$55,0)))</x:f>
      </x:c>
      <x:c r="F50" s="28" t="str">
        <x:f>IF(B50="","",INDEX(Obliczenia!$F$6:$F$55,MATCH(B50,Obliczenia!$B$6:$B$55,0)))</x:f>
      </x:c>
      <x:c r="G50" s="28" t="str">
        <x:f>IF(B50="","",INDEX(Obliczenia!$G$6:$G$55,MATCH(B50,Obliczenia!$B$6:$B$55,0)))</x:f>
      </x:c>
      <x:c r="H50" s="28" t="str">
        <x:f>IF(B50="","",INDEX(Obliczenia!$H$6:$H$55,MATCH(B50,Obliczenia!$B$6:$B$55,0)))</x:f>
      </x:c>
      <x:c r="I50" s="28" t="str">
        <x:f>IF(B50="","",INDEX(Obliczenia!$I$6:$I$55,MATCH(B50,Obliczenia!$B$6:$B$55,0)))</x:f>
      </x:c>
      <x:c r="J50" s="28" t="str">
        <x:f>IF(B50="","",INDEX(Obliczenia!$J$6:$J$55,MATCH(B50,Obliczenia!$B$6:$B$55,0)))</x:f>
      </x:c>
      <x:c r="K50" s="28" t="str">
        <x:f>IF(B50="","",INDEX(Obliczenia!$K$6:$K$55,MATCH(B50,Obliczenia!$B$6:$B$55,0)))</x:f>
      </x:c>
      <x:c r="L50" s="28" t="str">
        <x:f>IF(B50="","",INDEX(Obliczenia!$L$6:$L$55,MATCH(B50,Obliczenia!$B$6:$B$55,0)))</x:f>
      </x:c>
      <x:c r="M50" s="28" t="str">
        <x:f>IF(B50="","",INDEX(Obliczenia!$M$6:$M$55,MATCH(B50,Obliczenia!$B$6:$B$55,0)))</x:f>
      </x:c>
      <x:c r="N50" s="28" t="str">
        <x:f>IF(B50="","",INDEX(Obliczenia!$N$6:$N$55,MATCH(B50,Obliczenia!$B$6:$B$55,0)))</x:f>
      </x:c>
      <x:c r="O50" s="28" t="str">
        <x:f>IF(B50="","",INDEX(Obliczenia!$O$6:$O$55,MATCH(B50,Obliczenia!$B$6:$B$55,0)))</x:f>
      </x:c>
      <x:c r="P50" s="28" t="str">
        <x:f>IF(B50="","",INDEX(Obliczenia!$P$6:$P$55,MATCH(B50,Obliczenia!$B$6:$B$55,0)))</x:f>
      </x:c>
      <x:c r="Q50" s="28" t="str">
        <x:f>IF(B50="","",INDEX(Obliczenia!$Q$6:$Q$55,MATCH(B50,Obliczenia!$B$6:$B$55,0)))</x:f>
      </x:c>
      <x:c r="R50" s="28" t="str">
        <x:f>IF(B50="","",INDEX(Obliczenia!$R$6:$R$55,MATCH(B50,Obliczenia!$B$6:$B$55,0)))</x:f>
      </x:c>
      <x:c r="S50" s="28" t="str">
        <x:f>IF(B50="","",INDEX(Obliczenia!$S$6:$S$55,MATCH(B50,Obliczenia!$B$6:$B$55,0)))</x:f>
      </x:c>
      <x:c r="T50" s="28" t="str">
        <x:f>IF(B50="","",INDEX(Obliczenia!$T$6:$T$55,MATCH(B50,Obliczenia!$B$6:$B$55,0)))</x:f>
      </x:c>
      <x:c r="U50" s="28" t="str">
        <x:f>IF(B50="","",INDEX(Obliczenia!$U$6:$U$55,MATCH(B50,Obliczenia!$B$6:$B$55,0)))</x:f>
      </x:c>
      <x:c r="V50" s="28" t="str">
        <x:f>IF(B50="","",INDEX(Obliczenia!$V$6:$V$55,MATCH(B50,Obliczenia!$B$6:$B$55,0)))</x:f>
      </x:c>
      <x:c r="W50" s="28" t="str">
        <x:f>IF(B50="","",INDEX(Obliczenia!$W$6:$W$55,MATCH(B50,Obliczenia!$B$6:$B$55,0)))</x:f>
      </x:c>
      <x:c r="X50" s="17" t="str">
        <x:f>IF(B50="","",INDEX(Obliczenia!$X$6:$X$55,MATCH(B50,Obliczenia!$B$6:$B$55,0)))</x:f>
      </x:c>
      <x:c r="Y50" s="29" t="str">
        <x:f>IF(B50="","",INDEX(Obliczenia!$Y$6:$Y$55,MATCH(B50,Obliczenia!$B$6:$B$55,0)))</x:f>
      </x:c>
      <x:c r="Z50" s="30" t="str">
        <x:f>IF(B50="","",INDEX(Obliczenia!$Z$6:$Z$55,MATCH(B50,Obliczenia!$B$6:$B$55,0)))</x:f>
      </x:c>
    </x:row>
    <x:row r="51">
      <x:c r="A51" s="33" t="str">
        <x:f>IF(B51="","",1+COUNTIF($Y$6:$Y$55,"&gt;"&amp;Y51))</x:f>
      </x:c>
      <x:c r="B51" s="17" t="str">
        <x:f>IFERROR(INDEX(Obliczenia!$B$6:$B$55,MATCH(LARGE(Obliczenia!$AA$6:$AA$55,46),Obliczenia!$AA$6:$AA$55,0)),"")</x:f>
      </x:c>
      <x:c r="C51" s="17" t="str">
        <x:f>IF(B51="","",INDEX(Obliczenia!$C$6:$C$55,MATCH(B51,Obliczenia!$B$6:$B$55,0)))</x:f>
      </x:c>
      <x:c r="D51" s="28" t="str">
        <x:f>IF(B51="","",INDEX(Obliczenia!$D$6:$D$55,MATCH(B51,Obliczenia!$B$6:$B$55,0)))</x:f>
      </x:c>
      <x:c r="E51" s="28" t="str">
        <x:f>IF(B51="","",INDEX(Obliczenia!$E$6:$E$55,MATCH(B51,Obliczenia!$B$6:$B$55,0)))</x:f>
      </x:c>
      <x:c r="F51" s="28" t="str">
        <x:f>IF(B51="","",INDEX(Obliczenia!$F$6:$F$55,MATCH(B51,Obliczenia!$B$6:$B$55,0)))</x:f>
      </x:c>
      <x:c r="G51" s="28" t="str">
        <x:f>IF(B51="","",INDEX(Obliczenia!$G$6:$G$55,MATCH(B51,Obliczenia!$B$6:$B$55,0)))</x:f>
      </x:c>
      <x:c r="H51" s="28" t="str">
        <x:f>IF(B51="","",INDEX(Obliczenia!$H$6:$H$55,MATCH(B51,Obliczenia!$B$6:$B$55,0)))</x:f>
      </x:c>
      <x:c r="I51" s="28" t="str">
        <x:f>IF(B51="","",INDEX(Obliczenia!$I$6:$I$55,MATCH(B51,Obliczenia!$B$6:$B$55,0)))</x:f>
      </x:c>
      <x:c r="J51" s="28" t="str">
        <x:f>IF(B51="","",INDEX(Obliczenia!$J$6:$J$55,MATCH(B51,Obliczenia!$B$6:$B$55,0)))</x:f>
      </x:c>
      <x:c r="K51" s="28" t="str">
        <x:f>IF(B51="","",INDEX(Obliczenia!$K$6:$K$55,MATCH(B51,Obliczenia!$B$6:$B$55,0)))</x:f>
      </x:c>
      <x:c r="L51" s="28" t="str">
        <x:f>IF(B51="","",INDEX(Obliczenia!$L$6:$L$55,MATCH(B51,Obliczenia!$B$6:$B$55,0)))</x:f>
      </x:c>
      <x:c r="M51" s="28" t="str">
        <x:f>IF(B51="","",INDEX(Obliczenia!$M$6:$M$55,MATCH(B51,Obliczenia!$B$6:$B$55,0)))</x:f>
      </x:c>
      <x:c r="N51" s="28" t="str">
        <x:f>IF(B51="","",INDEX(Obliczenia!$N$6:$N$55,MATCH(B51,Obliczenia!$B$6:$B$55,0)))</x:f>
      </x:c>
      <x:c r="O51" s="28" t="str">
        <x:f>IF(B51="","",INDEX(Obliczenia!$O$6:$O$55,MATCH(B51,Obliczenia!$B$6:$B$55,0)))</x:f>
      </x:c>
      <x:c r="P51" s="28" t="str">
        <x:f>IF(B51="","",INDEX(Obliczenia!$P$6:$P$55,MATCH(B51,Obliczenia!$B$6:$B$55,0)))</x:f>
      </x:c>
      <x:c r="Q51" s="28" t="str">
        <x:f>IF(B51="","",INDEX(Obliczenia!$Q$6:$Q$55,MATCH(B51,Obliczenia!$B$6:$B$55,0)))</x:f>
      </x:c>
      <x:c r="R51" s="28" t="str">
        <x:f>IF(B51="","",INDEX(Obliczenia!$R$6:$R$55,MATCH(B51,Obliczenia!$B$6:$B$55,0)))</x:f>
      </x:c>
      <x:c r="S51" s="28" t="str">
        <x:f>IF(B51="","",INDEX(Obliczenia!$S$6:$S$55,MATCH(B51,Obliczenia!$B$6:$B$55,0)))</x:f>
      </x:c>
      <x:c r="T51" s="28" t="str">
        <x:f>IF(B51="","",INDEX(Obliczenia!$T$6:$T$55,MATCH(B51,Obliczenia!$B$6:$B$55,0)))</x:f>
      </x:c>
      <x:c r="U51" s="28" t="str">
        <x:f>IF(B51="","",INDEX(Obliczenia!$U$6:$U$55,MATCH(B51,Obliczenia!$B$6:$B$55,0)))</x:f>
      </x:c>
      <x:c r="V51" s="28" t="str">
        <x:f>IF(B51="","",INDEX(Obliczenia!$V$6:$V$55,MATCH(B51,Obliczenia!$B$6:$B$55,0)))</x:f>
      </x:c>
      <x:c r="W51" s="28" t="str">
        <x:f>IF(B51="","",INDEX(Obliczenia!$W$6:$W$55,MATCH(B51,Obliczenia!$B$6:$B$55,0)))</x:f>
      </x:c>
      <x:c r="X51" s="17" t="str">
        <x:f>IF(B51="","",INDEX(Obliczenia!$X$6:$X$55,MATCH(B51,Obliczenia!$B$6:$B$55,0)))</x:f>
      </x:c>
      <x:c r="Y51" s="29" t="str">
        <x:f>IF(B51="","",INDEX(Obliczenia!$Y$6:$Y$55,MATCH(B51,Obliczenia!$B$6:$B$55,0)))</x:f>
      </x:c>
      <x:c r="Z51" s="30" t="str">
        <x:f>IF(B51="","",INDEX(Obliczenia!$Z$6:$Z$55,MATCH(B51,Obliczenia!$B$6:$B$55,0)))</x:f>
      </x:c>
    </x:row>
    <x:row r="52">
      <x:c r="A52" s="33" t="str">
        <x:f>IF(B52="","",1+COUNTIF($Y$6:$Y$55,"&gt;"&amp;Y52))</x:f>
      </x:c>
      <x:c r="B52" s="17" t="str">
        <x:f>IFERROR(INDEX(Obliczenia!$B$6:$B$55,MATCH(LARGE(Obliczenia!$AA$6:$AA$55,47),Obliczenia!$AA$6:$AA$55,0)),"")</x:f>
      </x:c>
      <x:c r="C52" s="17" t="str">
        <x:f>IF(B52="","",INDEX(Obliczenia!$C$6:$C$55,MATCH(B52,Obliczenia!$B$6:$B$55,0)))</x:f>
      </x:c>
      <x:c r="D52" s="28" t="str">
        <x:f>IF(B52="","",INDEX(Obliczenia!$D$6:$D$55,MATCH(B52,Obliczenia!$B$6:$B$55,0)))</x:f>
      </x:c>
      <x:c r="E52" s="28" t="str">
        <x:f>IF(B52="","",INDEX(Obliczenia!$E$6:$E$55,MATCH(B52,Obliczenia!$B$6:$B$55,0)))</x:f>
      </x:c>
      <x:c r="F52" s="28" t="str">
        <x:f>IF(B52="","",INDEX(Obliczenia!$F$6:$F$55,MATCH(B52,Obliczenia!$B$6:$B$55,0)))</x:f>
      </x:c>
      <x:c r="G52" s="28" t="str">
        <x:f>IF(B52="","",INDEX(Obliczenia!$G$6:$G$55,MATCH(B52,Obliczenia!$B$6:$B$55,0)))</x:f>
      </x:c>
      <x:c r="H52" s="28" t="str">
        <x:f>IF(B52="","",INDEX(Obliczenia!$H$6:$H$55,MATCH(B52,Obliczenia!$B$6:$B$55,0)))</x:f>
      </x:c>
      <x:c r="I52" s="28" t="str">
        <x:f>IF(B52="","",INDEX(Obliczenia!$I$6:$I$55,MATCH(B52,Obliczenia!$B$6:$B$55,0)))</x:f>
      </x:c>
      <x:c r="J52" s="28" t="str">
        <x:f>IF(B52="","",INDEX(Obliczenia!$J$6:$J$55,MATCH(B52,Obliczenia!$B$6:$B$55,0)))</x:f>
      </x:c>
      <x:c r="K52" s="28" t="str">
        <x:f>IF(B52="","",INDEX(Obliczenia!$K$6:$K$55,MATCH(B52,Obliczenia!$B$6:$B$55,0)))</x:f>
      </x:c>
      <x:c r="L52" s="28" t="str">
        <x:f>IF(B52="","",INDEX(Obliczenia!$L$6:$L$55,MATCH(B52,Obliczenia!$B$6:$B$55,0)))</x:f>
      </x:c>
      <x:c r="M52" s="28" t="str">
        <x:f>IF(B52="","",INDEX(Obliczenia!$M$6:$M$55,MATCH(B52,Obliczenia!$B$6:$B$55,0)))</x:f>
      </x:c>
      <x:c r="N52" s="28" t="str">
        <x:f>IF(B52="","",INDEX(Obliczenia!$N$6:$N$55,MATCH(B52,Obliczenia!$B$6:$B$55,0)))</x:f>
      </x:c>
      <x:c r="O52" s="28" t="str">
        <x:f>IF(B52="","",INDEX(Obliczenia!$O$6:$O$55,MATCH(B52,Obliczenia!$B$6:$B$55,0)))</x:f>
      </x:c>
      <x:c r="P52" s="28" t="str">
        <x:f>IF(B52="","",INDEX(Obliczenia!$P$6:$P$55,MATCH(B52,Obliczenia!$B$6:$B$55,0)))</x:f>
      </x:c>
      <x:c r="Q52" s="28" t="str">
        <x:f>IF(B52="","",INDEX(Obliczenia!$Q$6:$Q$55,MATCH(B52,Obliczenia!$B$6:$B$55,0)))</x:f>
      </x:c>
      <x:c r="R52" s="28" t="str">
        <x:f>IF(B52="","",INDEX(Obliczenia!$R$6:$R$55,MATCH(B52,Obliczenia!$B$6:$B$55,0)))</x:f>
      </x:c>
      <x:c r="S52" s="28" t="str">
        <x:f>IF(B52="","",INDEX(Obliczenia!$S$6:$S$55,MATCH(B52,Obliczenia!$B$6:$B$55,0)))</x:f>
      </x:c>
      <x:c r="T52" s="28" t="str">
        <x:f>IF(B52="","",INDEX(Obliczenia!$T$6:$T$55,MATCH(B52,Obliczenia!$B$6:$B$55,0)))</x:f>
      </x:c>
      <x:c r="U52" s="28" t="str">
        <x:f>IF(B52="","",INDEX(Obliczenia!$U$6:$U$55,MATCH(B52,Obliczenia!$B$6:$B$55,0)))</x:f>
      </x:c>
      <x:c r="V52" s="28" t="str">
        <x:f>IF(B52="","",INDEX(Obliczenia!$V$6:$V$55,MATCH(B52,Obliczenia!$B$6:$B$55,0)))</x:f>
      </x:c>
      <x:c r="W52" s="28" t="str">
        <x:f>IF(B52="","",INDEX(Obliczenia!$W$6:$W$55,MATCH(B52,Obliczenia!$B$6:$B$55,0)))</x:f>
      </x:c>
      <x:c r="X52" s="17" t="str">
        <x:f>IF(B52="","",INDEX(Obliczenia!$X$6:$X$55,MATCH(B52,Obliczenia!$B$6:$B$55,0)))</x:f>
      </x:c>
      <x:c r="Y52" s="29" t="str">
        <x:f>IF(B52="","",INDEX(Obliczenia!$Y$6:$Y$55,MATCH(B52,Obliczenia!$B$6:$B$55,0)))</x:f>
      </x:c>
      <x:c r="Z52" s="30" t="str">
        <x:f>IF(B52="","",INDEX(Obliczenia!$Z$6:$Z$55,MATCH(B52,Obliczenia!$B$6:$B$55,0)))</x:f>
      </x:c>
    </x:row>
    <x:row r="53">
      <x:c r="A53" s="33" t="str">
        <x:f>IF(B53="","",1+COUNTIF($Y$6:$Y$55,"&gt;"&amp;Y53))</x:f>
      </x:c>
      <x:c r="B53" s="17" t="str">
        <x:f>IFERROR(INDEX(Obliczenia!$B$6:$B$55,MATCH(LARGE(Obliczenia!$AA$6:$AA$55,48),Obliczenia!$AA$6:$AA$55,0)),"")</x:f>
      </x:c>
      <x:c r="C53" s="17" t="str">
        <x:f>IF(B53="","",INDEX(Obliczenia!$C$6:$C$55,MATCH(B53,Obliczenia!$B$6:$B$55,0)))</x:f>
      </x:c>
      <x:c r="D53" s="28" t="str">
        <x:f>IF(B53="","",INDEX(Obliczenia!$D$6:$D$55,MATCH(B53,Obliczenia!$B$6:$B$55,0)))</x:f>
      </x:c>
      <x:c r="E53" s="28" t="str">
        <x:f>IF(B53="","",INDEX(Obliczenia!$E$6:$E$55,MATCH(B53,Obliczenia!$B$6:$B$55,0)))</x:f>
      </x:c>
      <x:c r="F53" s="28" t="str">
        <x:f>IF(B53="","",INDEX(Obliczenia!$F$6:$F$55,MATCH(B53,Obliczenia!$B$6:$B$55,0)))</x:f>
      </x:c>
      <x:c r="G53" s="28" t="str">
        <x:f>IF(B53="","",INDEX(Obliczenia!$G$6:$G$55,MATCH(B53,Obliczenia!$B$6:$B$55,0)))</x:f>
      </x:c>
      <x:c r="H53" s="28" t="str">
        <x:f>IF(B53="","",INDEX(Obliczenia!$H$6:$H$55,MATCH(B53,Obliczenia!$B$6:$B$55,0)))</x:f>
      </x:c>
      <x:c r="I53" s="28" t="str">
        <x:f>IF(B53="","",INDEX(Obliczenia!$I$6:$I$55,MATCH(B53,Obliczenia!$B$6:$B$55,0)))</x:f>
      </x:c>
      <x:c r="J53" s="28" t="str">
        <x:f>IF(B53="","",INDEX(Obliczenia!$J$6:$J$55,MATCH(B53,Obliczenia!$B$6:$B$55,0)))</x:f>
      </x:c>
      <x:c r="K53" s="28" t="str">
        <x:f>IF(B53="","",INDEX(Obliczenia!$K$6:$K$55,MATCH(B53,Obliczenia!$B$6:$B$55,0)))</x:f>
      </x:c>
      <x:c r="L53" s="28" t="str">
        <x:f>IF(B53="","",INDEX(Obliczenia!$L$6:$L$55,MATCH(B53,Obliczenia!$B$6:$B$55,0)))</x:f>
      </x:c>
      <x:c r="M53" s="28" t="str">
        <x:f>IF(B53="","",INDEX(Obliczenia!$M$6:$M$55,MATCH(B53,Obliczenia!$B$6:$B$55,0)))</x:f>
      </x:c>
      <x:c r="N53" s="28" t="str">
        <x:f>IF(B53="","",INDEX(Obliczenia!$N$6:$N$55,MATCH(B53,Obliczenia!$B$6:$B$55,0)))</x:f>
      </x:c>
      <x:c r="O53" s="28" t="str">
        <x:f>IF(B53="","",INDEX(Obliczenia!$O$6:$O$55,MATCH(B53,Obliczenia!$B$6:$B$55,0)))</x:f>
      </x:c>
      <x:c r="P53" s="28" t="str">
        <x:f>IF(B53="","",INDEX(Obliczenia!$P$6:$P$55,MATCH(B53,Obliczenia!$B$6:$B$55,0)))</x:f>
      </x:c>
      <x:c r="Q53" s="28" t="str">
        <x:f>IF(B53="","",INDEX(Obliczenia!$Q$6:$Q$55,MATCH(B53,Obliczenia!$B$6:$B$55,0)))</x:f>
      </x:c>
      <x:c r="R53" s="28" t="str">
        <x:f>IF(B53="","",INDEX(Obliczenia!$R$6:$R$55,MATCH(B53,Obliczenia!$B$6:$B$55,0)))</x:f>
      </x:c>
      <x:c r="S53" s="28" t="str">
        <x:f>IF(B53="","",INDEX(Obliczenia!$S$6:$S$55,MATCH(B53,Obliczenia!$B$6:$B$55,0)))</x:f>
      </x:c>
      <x:c r="T53" s="28" t="str">
        <x:f>IF(B53="","",INDEX(Obliczenia!$T$6:$T$55,MATCH(B53,Obliczenia!$B$6:$B$55,0)))</x:f>
      </x:c>
      <x:c r="U53" s="28" t="str">
        <x:f>IF(B53="","",INDEX(Obliczenia!$U$6:$U$55,MATCH(B53,Obliczenia!$B$6:$B$55,0)))</x:f>
      </x:c>
      <x:c r="V53" s="28" t="str">
        <x:f>IF(B53="","",INDEX(Obliczenia!$V$6:$V$55,MATCH(B53,Obliczenia!$B$6:$B$55,0)))</x:f>
      </x:c>
      <x:c r="W53" s="28" t="str">
        <x:f>IF(B53="","",INDEX(Obliczenia!$W$6:$W$55,MATCH(B53,Obliczenia!$B$6:$B$55,0)))</x:f>
      </x:c>
      <x:c r="X53" s="17" t="str">
        <x:f>IF(B53="","",INDEX(Obliczenia!$X$6:$X$55,MATCH(B53,Obliczenia!$B$6:$B$55,0)))</x:f>
      </x:c>
      <x:c r="Y53" s="29" t="str">
        <x:f>IF(B53="","",INDEX(Obliczenia!$Y$6:$Y$55,MATCH(B53,Obliczenia!$B$6:$B$55,0)))</x:f>
      </x:c>
      <x:c r="Z53" s="30" t="str">
        <x:f>IF(B53="","",INDEX(Obliczenia!$Z$6:$Z$55,MATCH(B53,Obliczenia!$B$6:$B$55,0)))</x:f>
      </x:c>
    </x:row>
    <x:row r="54">
      <x:c r="A54" s="33" t="str">
        <x:f>IF(B54="","",1+COUNTIF($Y$6:$Y$55,"&gt;"&amp;Y54))</x:f>
      </x:c>
      <x:c r="B54" s="17" t="str">
        <x:f>IFERROR(INDEX(Obliczenia!$B$6:$B$55,MATCH(LARGE(Obliczenia!$AA$6:$AA$55,49),Obliczenia!$AA$6:$AA$55,0)),"")</x:f>
      </x:c>
      <x:c r="C54" s="17" t="str">
        <x:f>IF(B54="","",INDEX(Obliczenia!$C$6:$C$55,MATCH(B54,Obliczenia!$B$6:$B$55,0)))</x:f>
      </x:c>
      <x:c r="D54" s="28" t="str">
        <x:f>IF(B54="","",INDEX(Obliczenia!$D$6:$D$55,MATCH(B54,Obliczenia!$B$6:$B$55,0)))</x:f>
      </x:c>
      <x:c r="E54" s="28" t="str">
        <x:f>IF(B54="","",INDEX(Obliczenia!$E$6:$E$55,MATCH(B54,Obliczenia!$B$6:$B$55,0)))</x:f>
      </x:c>
      <x:c r="F54" s="28" t="str">
        <x:f>IF(B54="","",INDEX(Obliczenia!$F$6:$F$55,MATCH(B54,Obliczenia!$B$6:$B$55,0)))</x:f>
      </x:c>
      <x:c r="G54" s="28" t="str">
        <x:f>IF(B54="","",INDEX(Obliczenia!$G$6:$G$55,MATCH(B54,Obliczenia!$B$6:$B$55,0)))</x:f>
      </x:c>
      <x:c r="H54" s="28" t="str">
        <x:f>IF(B54="","",INDEX(Obliczenia!$H$6:$H$55,MATCH(B54,Obliczenia!$B$6:$B$55,0)))</x:f>
      </x:c>
      <x:c r="I54" s="28" t="str">
        <x:f>IF(B54="","",INDEX(Obliczenia!$I$6:$I$55,MATCH(B54,Obliczenia!$B$6:$B$55,0)))</x:f>
      </x:c>
      <x:c r="J54" s="28" t="str">
        <x:f>IF(B54="","",INDEX(Obliczenia!$J$6:$J$55,MATCH(B54,Obliczenia!$B$6:$B$55,0)))</x:f>
      </x:c>
      <x:c r="K54" s="28" t="str">
        <x:f>IF(B54="","",INDEX(Obliczenia!$K$6:$K$55,MATCH(B54,Obliczenia!$B$6:$B$55,0)))</x:f>
      </x:c>
      <x:c r="L54" s="28" t="str">
        <x:f>IF(B54="","",INDEX(Obliczenia!$L$6:$L$55,MATCH(B54,Obliczenia!$B$6:$B$55,0)))</x:f>
      </x:c>
      <x:c r="M54" s="28" t="str">
        <x:f>IF(B54="","",INDEX(Obliczenia!$M$6:$M$55,MATCH(B54,Obliczenia!$B$6:$B$55,0)))</x:f>
      </x:c>
      <x:c r="N54" s="28" t="str">
        <x:f>IF(B54="","",INDEX(Obliczenia!$N$6:$N$55,MATCH(B54,Obliczenia!$B$6:$B$55,0)))</x:f>
      </x:c>
      <x:c r="O54" s="28" t="str">
        <x:f>IF(B54="","",INDEX(Obliczenia!$O$6:$O$55,MATCH(B54,Obliczenia!$B$6:$B$55,0)))</x:f>
      </x:c>
      <x:c r="P54" s="28" t="str">
        <x:f>IF(B54="","",INDEX(Obliczenia!$P$6:$P$55,MATCH(B54,Obliczenia!$B$6:$B$55,0)))</x:f>
      </x:c>
      <x:c r="Q54" s="28" t="str">
        <x:f>IF(B54="","",INDEX(Obliczenia!$Q$6:$Q$55,MATCH(B54,Obliczenia!$B$6:$B$55,0)))</x:f>
      </x:c>
      <x:c r="R54" s="28" t="str">
        <x:f>IF(B54="","",INDEX(Obliczenia!$R$6:$R$55,MATCH(B54,Obliczenia!$B$6:$B$55,0)))</x:f>
      </x:c>
      <x:c r="S54" s="28" t="str">
        <x:f>IF(B54="","",INDEX(Obliczenia!$S$6:$S$55,MATCH(B54,Obliczenia!$B$6:$B$55,0)))</x:f>
      </x:c>
      <x:c r="T54" s="28" t="str">
        <x:f>IF(B54="","",INDEX(Obliczenia!$T$6:$T$55,MATCH(B54,Obliczenia!$B$6:$B$55,0)))</x:f>
      </x:c>
      <x:c r="U54" s="28" t="str">
        <x:f>IF(B54="","",INDEX(Obliczenia!$U$6:$U$55,MATCH(B54,Obliczenia!$B$6:$B$55,0)))</x:f>
      </x:c>
      <x:c r="V54" s="28" t="str">
        <x:f>IF(B54="","",INDEX(Obliczenia!$V$6:$V$55,MATCH(B54,Obliczenia!$B$6:$B$55,0)))</x:f>
      </x:c>
      <x:c r="W54" s="28" t="str">
        <x:f>IF(B54="","",INDEX(Obliczenia!$W$6:$W$55,MATCH(B54,Obliczenia!$B$6:$B$55,0)))</x:f>
      </x:c>
      <x:c r="X54" s="17" t="str">
        <x:f>IF(B54="","",INDEX(Obliczenia!$X$6:$X$55,MATCH(B54,Obliczenia!$B$6:$B$55,0)))</x:f>
      </x:c>
      <x:c r="Y54" s="29" t="str">
        <x:f>IF(B54="","",INDEX(Obliczenia!$Y$6:$Y$55,MATCH(B54,Obliczenia!$B$6:$B$55,0)))</x:f>
      </x:c>
      <x:c r="Z54" s="30" t="str">
        <x:f>IF(B54="","",INDEX(Obliczenia!$Z$6:$Z$55,MATCH(B54,Obliczenia!$B$6:$B$55,0)))</x:f>
      </x:c>
    </x:row>
    <x:row r="55">
      <x:c r="A55" s="33" t="str">
        <x:f>IF(B55="","",1+COUNTIF($Y$6:$Y$55,"&gt;"&amp;Y55))</x:f>
      </x:c>
      <x:c r="B55" s="17" t="str">
        <x:f>IFERROR(INDEX(Obliczenia!$B$6:$B$55,MATCH(LARGE(Obliczenia!$AA$6:$AA$55,50),Obliczenia!$AA$6:$AA$55,0)),"")</x:f>
      </x:c>
      <x:c r="C55" s="17" t="str">
        <x:f>IF(B55="","",INDEX(Obliczenia!$C$6:$C$55,MATCH(B55,Obliczenia!$B$6:$B$55,0)))</x:f>
      </x:c>
      <x:c r="D55" s="28" t="str">
        <x:f>IF(B55="","",INDEX(Obliczenia!$D$6:$D$55,MATCH(B55,Obliczenia!$B$6:$B$55,0)))</x:f>
      </x:c>
      <x:c r="E55" s="28" t="str">
        <x:f>IF(B55="","",INDEX(Obliczenia!$E$6:$E$55,MATCH(B55,Obliczenia!$B$6:$B$55,0)))</x:f>
      </x:c>
      <x:c r="F55" s="28" t="str">
        <x:f>IF(B55="","",INDEX(Obliczenia!$F$6:$F$55,MATCH(B55,Obliczenia!$B$6:$B$55,0)))</x:f>
      </x:c>
      <x:c r="G55" s="28" t="str">
        <x:f>IF(B55="","",INDEX(Obliczenia!$G$6:$G$55,MATCH(B55,Obliczenia!$B$6:$B$55,0)))</x:f>
      </x:c>
      <x:c r="H55" s="28" t="str">
        <x:f>IF(B55="","",INDEX(Obliczenia!$H$6:$H$55,MATCH(B55,Obliczenia!$B$6:$B$55,0)))</x:f>
      </x:c>
      <x:c r="I55" s="28" t="str">
        <x:f>IF(B55="","",INDEX(Obliczenia!$I$6:$I$55,MATCH(B55,Obliczenia!$B$6:$B$55,0)))</x:f>
      </x:c>
      <x:c r="J55" s="28" t="str">
        <x:f>IF(B55="","",INDEX(Obliczenia!$J$6:$J$55,MATCH(B55,Obliczenia!$B$6:$B$55,0)))</x:f>
      </x:c>
      <x:c r="K55" s="28" t="str">
        <x:f>IF(B55="","",INDEX(Obliczenia!$K$6:$K$55,MATCH(B55,Obliczenia!$B$6:$B$55,0)))</x:f>
      </x:c>
      <x:c r="L55" s="28" t="str">
        <x:f>IF(B55="","",INDEX(Obliczenia!$L$6:$L$55,MATCH(B55,Obliczenia!$B$6:$B$55,0)))</x:f>
      </x:c>
      <x:c r="M55" s="28" t="str">
        <x:f>IF(B55="","",INDEX(Obliczenia!$M$6:$M$55,MATCH(B55,Obliczenia!$B$6:$B$55,0)))</x:f>
      </x:c>
      <x:c r="N55" s="28" t="str">
        <x:f>IF(B55="","",INDEX(Obliczenia!$N$6:$N$55,MATCH(B55,Obliczenia!$B$6:$B$55,0)))</x:f>
      </x:c>
      <x:c r="O55" s="28" t="str">
        <x:f>IF(B55="","",INDEX(Obliczenia!$O$6:$O$55,MATCH(B55,Obliczenia!$B$6:$B$55,0)))</x:f>
      </x:c>
      <x:c r="P55" s="28" t="str">
        <x:f>IF(B55="","",INDEX(Obliczenia!$P$6:$P$55,MATCH(B55,Obliczenia!$B$6:$B$55,0)))</x:f>
      </x:c>
      <x:c r="Q55" s="28" t="str">
        <x:f>IF(B55="","",INDEX(Obliczenia!$Q$6:$Q$55,MATCH(B55,Obliczenia!$B$6:$B$55,0)))</x:f>
      </x:c>
      <x:c r="R55" s="28" t="str">
        <x:f>IF(B55="","",INDEX(Obliczenia!$R$6:$R$55,MATCH(B55,Obliczenia!$B$6:$B$55,0)))</x:f>
      </x:c>
      <x:c r="S55" s="28" t="str">
        <x:f>IF(B55="","",INDEX(Obliczenia!$S$6:$S$55,MATCH(B55,Obliczenia!$B$6:$B$55,0)))</x:f>
      </x:c>
      <x:c r="T55" s="28" t="str">
        <x:f>IF(B55="","",INDEX(Obliczenia!$T$6:$T$55,MATCH(B55,Obliczenia!$B$6:$B$55,0)))</x:f>
      </x:c>
      <x:c r="U55" s="28" t="str">
        <x:f>IF(B55="","",INDEX(Obliczenia!$U$6:$U$55,MATCH(B55,Obliczenia!$B$6:$B$55,0)))</x:f>
      </x:c>
      <x:c r="V55" s="28" t="str">
        <x:f>IF(B55="","",INDEX(Obliczenia!$V$6:$V$55,MATCH(B55,Obliczenia!$B$6:$B$55,0)))</x:f>
      </x:c>
      <x:c r="W55" s="28" t="str">
        <x:f>IF(B55="","",INDEX(Obliczenia!$W$6:$W$55,MATCH(B55,Obliczenia!$B$6:$B$55,0)))</x:f>
      </x:c>
      <x:c r="X55" s="17" t="str">
        <x:f>IF(B55="","",INDEX(Obliczenia!$X$6:$X$55,MATCH(B55,Obliczenia!$B$6:$B$55,0)))</x:f>
      </x:c>
      <x:c r="Y55" s="29" t="str">
        <x:f>IF(B55="","",INDEX(Obliczenia!$Y$6:$Y$55,MATCH(B55,Obliczenia!$B$6:$B$55,0)))</x:f>
      </x:c>
      <x:c r="Z55" s="30" t="str">
        <x:f>IF(B55="","",INDEX(Obliczenia!$Z$6:$Z$55,MATCH(B55,Obliczenia!$B$6:$B$55,0)))</x:f>
      </x:c>
    </x:row>
  </x:sheetData>
  <x:mergeCells>
    <x:mergeCell ref="A1:Z1"/>
    <x:mergeCell ref="A2:Z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7" hidden="0" customWidth="1"/>
    <x:col min="25" max="25" width="17" hidden="0" customWidth="1"/>
    <x:col min="26" max="26" width="17" hidden="0" customWidth="1"/>
    <x:col min="27" max="27" width="2" hidden="0" customWidth="1"/>
  </x:cols>
  <x:sheetData>
    <x:row r="1" ht="30" customHeight="1">
      <x:c r="A1" s="4" t="str">
        <x:v>OBLICZENIA KLASYFIKACJI GENERALNEJ</x:v>
      </x:c>
      <x:c r="B1" s="4" t="str">
        <x:v>OBLICZENIA KLASYFIKACJI GENERALNEJ</x:v>
      </x:c>
      <x:c r="C1" s="4" t="str">
        <x:v>OBLICZENIA KLASYFIKACJI GENERALNEJ</x:v>
      </x:c>
      <x:c r="D1" s="4" t="str">
        <x:v>OBLICZENIA KLASYFIKACJI GENERALNEJ</x:v>
      </x:c>
      <x:c r="E1" s="4" t="str">
        <x:v>OBLICZENIA KLASYFIKACJI GENERALNEJ</x:v>
      </x:c>
      <x:c r="F1" s="4" t="str">
        <x:v>OBLICZENIA KLASYFIKACJI GENERALNEJ</x:v>
      </x:c>
      <x:c r="G1" s="4" t="str">
        <x:v>OBLICZENIA KLASYFIKACJI GENERALNEJ</x:v>
      </x:c>
      <x:c r="H1" s="4" t="str">
        <x:v>OBLICZENIA KLASYFIKACJI GENERALNEJ</x:v>
      </x:c>
      <x:c r="I1" s="4" t="str">
        <x:v>OBLICZENIA KLASYFIKACJI GENERALNEJ</x:v>
      </x:c>
      <x:c r="J1" s="4" t="str">
        <x:v>OBLICZENIA KLASYFIKACJI GENERALNEJ</x:v>
      </x:c>
      <x:c r="K1" s="4" t="str">
        <x:v>OBLICZENIA KLASYFIKACJI GENERALNEJ</x:v>
      </x:c>
      <x:c r="L1" s="4" t="str">
        <x:v>OBLICZENIA KLASYFIKACJI GENERALNEJ</x:v>
      </x:c>
      <x:c r="M1" s="4" t="str">
        <x:v>OBLICZENIA KLASYFIKACJI GENERALNEJ</x:v>
      </x:c>
      <x:c r="N1" s="4" t="str">
        <x:v>OBLICZENIA KLASYFIKACJI GENERALNEJ</x:v>
      </x:c>
      <x:c r="O1" s="4" t="str">
        <x:v>OBLICZENIA KLASYFIKACJI GENERALNEJ</x:v>
      </x:c>
      <x:c r="P1" s="4" t="str">
        <x:v>OBLICZENIA KLASYFIKACJI GENERALNEJ</x:v>
      </x:c>
      <x:c r="Q1" s="4" t="str">
        <x:v>OBLICZENIA KLASYFIKACJI GENERALNEJ</x:v>
      </x:c>
      <x:c r="R1" s="4" t="str">
        <x:v>OBLICZENIA KLASYFIKACJI GENERALNEJ</x:v>
      </x:c>
      <x:c r="S1" s="4" t="str">
        <x:v>OBLICZENIA KLASYFIKACJI GENERALNEJ</x:v>
      </x:c>
      <x:c r="T1" s="4" t="str">
        <x:v>OBLICZENIA KLASYFIKACJI GENERALNEJ</x:v>
      </x:c>
      <x:c r="U1" s="4" t="str">
        <x:v>OBLICZENIA KLASYFIKACJI GENERALNEJ</x:v>
      </x:c>
      <x:c r="V1" s="4" t="str">
        <x:v>OBLICZENIA KLASYFIKACJI GENERALNEJ</x:v>
      </x:c>
      <x:c r="W1" s="4" t="str">
        <x:v>OBLICZENIA KLASYFIKACJI GENERALNEJ</x:v>
      </x:c>
      <x:c r="X1" s="4" t="str">
        <x:v>OBLICZENIA KLASYFIKACJI GENERALNEJ</x:v>
      </x:c>
      <x:c r="Y1" s="4" t="str">
        <x:v>OBLICZENIA KLASYFIKACJI GENERALNEJ</x:v>
      </x:c>
      <x:c r="Z1" s="4" t="str">
        <x:v>OBLICZENIA KLASYFIKACJI GENERALNEJ</x:v>
      </x:c>
      <x:c r="AA1" s="4" t="str">
        <x:v>OBLICZENIA KLASYFIKACJI GENERALNEJ</x:v>
      </x:c>
    </x:row>
    <x:row r="2" ht="24" customHeight="1">
      <x:c r="A2" s="8" t="str">
        <x:v>Arkusz pomocniczy. Formuły pobierają wyniki z arkusza Wyniki zawodów, zliczają starty i wybierają cztery najwyższe zdobycze punktowe.</x:v>
      </x:c>
      <x:c r="B2" s="8" t="str">
        <x:v>Arkusz pomocniczy. Formuły pobierają wyniki z arkusza Wyniki zawodów, zliczają starty i wybierają cztery najwyższe zdobycze punktowe.</x:v>
      </x:c>
      <x:c r="C2" s="8" t="str">
        <x:v>Arkusz pomocniczy. Formuły pobierają wyniki z arkusza Wyniki zawodów, zliczają starty i wybierają cztery najwyższe zdobycze punktowe.</x:v>
      </x:c>
      <x:c r="D2" s="8" t="str">
        <x:v>Arkusz pomocniczy. Formuły pobierają wyniki z arkusza Wyniki zawodów, zliczają starty i wybierają cztery najwyższe zdobycze punktowe.</x:v>
      </x:c>
      <x:c r="E2" s="8" t="str">
        <x:v>Arkusz pomocniczy. Formuły pobierają wyniki z arkusza Wyniki zawodów, zliczają starty i wybierają cztery najwyższe zdobycze punktowe.</x:v>
      </x:c>
      <x:c r="F2" s="8" t="str">
        <x:v>Arkusz pomocniczy. Formuły pobierają wyniki z arkusza Wyniki zawodów, zliczają starty i wybierają cztery najwyższe zdobycze punktowe.</x:v>
      </x:c>
      <x:c r="G2" s="8" t="str">
        <x:v>Arkusz pomocniczy. Formuły pobierają wyniki z arkusza Wyniki zawodów, zliczają starty i wybierają cztery najwyższe zdobycze punktowe.</x:v>
      </x:c>
      <x:c r="H2" s="8" t="str">
        <x:v>Arkusz pomocniczy. Formuły pobierają wyniki z arkusza Wyniki zawodów, zliczają starty i wybierają cztery najwyższe zdobycze punktowe.</x:v>
      </x:c>
      <x:c r="I2" s="8" t="str">
        <x:v>Arkusz pomocniczy. Formuły pobierają wyniki z arkusza Wyniki zawodów, zliczają starty i wybierają cztery najwyższe zdobycze punktowe.</x:v>
      </x:c>
      <x:c r="J2" s="8" t="str">
        <x:v>Arkusz pomocniczy. Formuły pobierają wyniki z arkusza Wyniki zawodów, zliczają starty i wybierają cztery najwyższe zdobycze punktowe.</x:v>
      </x:c>
      <x:c r="K2" s="8" t="str">
        <x:v>Arkusz pomocniczy. Formuły pobierają wyniki z arkusza Wyniki zawodów, zliczają starty i wybierają cztery najwyższe zdobycze punktowe.</x:v>
      </x:c>
      <x:c r="L2" s="8" t="str">
        <x:v>Arkusz pomocniczy. Formuły pobierają wyniki z arkusza Wyniki zawodów, zliczają starty i wybierają cztery najwyższe zdobycze punktowe.</x:v>
      </x:c>
      <x:c r="M2" s="8" t="str">
        <x:v>Arkusz pomocniczy. Formuły pobierają wyniki z arkusza Wyniki zawodów, zliczają starty i wybierają cztery najwyższe zdobycze punktowe.</x:v>
      </x:c>
      <x:c r="N2" s="8" t="str">
        <x:v>Arkusz pomocniczy. Formuły pobierają wyniki z arkusza Wyniki zawodów, zliczają starty i wybierają cztery najwyższe zdobycze punktowe.</x:v>
      </x:c>
      <x:c r="O2" s="8" t="str">
        <x:v>Arkusz pomocniczy. Formuły pobierają wyniki z arkusza Wyniki zawodów, zliczają starty i wybierają cztery najwyższe zdobycze punktowe.</x:v>
      </x:c>
      <x:c r="P2" s="8" t="str">
        <x:v>Arkusz pomocniczy. Formuły pobierają wyniki z arkusza Wyniki zawodów, zliczają starty i wybierają cztery najwyższe zdobycze punktowe.</x:v>
      </x:c>
      <x:c r="Q2" s="8" t="str">
        <x:v>Arkusz pomocniczy. Formuły pobierają wyniki z arkusza Wyniki zawodów, zliczają starty i wybierają cztery najwyższe zdobycze punktowe.</x:v>
      </x:c>
      <x:c r="R2" s="8" t="str">
        <x:v>Arkusz pomocniczy. Formuły pobierają wyniki z arkusza Wyniki zawodów, zliczają starty i wybierają cztery najwyższe zdobycze punktowe.</x:v>
      </x:c>
      <x:c r="S2" s="8" t="str">
        <x:v>Arkusz pomocniczy. Formuły pobierają wyniki z arkusza Wyniki zawodów, zliczają starty i wybierają cztery najwyższe zdobycze punktowe.</x:v>
      </x:c>
      <x:c r="T2" s="8" t="str">
        <x:v>Arkusz pomocniczy. Formuły pobierają wyniki z arkusza Wyniki zawodów, zliczają starty i wybierają cztery najwyższe zdobycze punktowe.</x:v>
      </x:c>
      <x:c r="U2" s="8" t="str">
        <x:v>Arkusz pomocniczy. Formuły pobierają wyniki z arkusza Wyniki zawodów, zliczają starty i wybierają cztery najwyższe zdobycze punktowe.</x:v>
      </x:c>
      <x:c r="V2" s="8" t="str">
        <x:v>Arkusz pomocniczy. Formuły pobierają wyniki z arkusza Wyniki zawodów, zliczają starty i wybierają cztery najwyższe zdobycze punktowe.</x:v>
      </x:c>
      <x:c r="W2" s="8" t="str">
        <x:v>Arkusz pomocniczy. Formuły pobierają wyniki z arkusza Wyniki zawodów, zliczają starty i wybierają cztery najwyższe zdobycze punktowe.</x:v>
      </x:c>
      <x:c r="X2" s="8" t="str">
        <x:v>Arkusz pomocniczy. Formuły pobierają wyniki z arkusza Wyniki zawodów, zliczają starty i wybierają cztery najwyższe zdobycze punktowe.</x:v>
      </x:c>
      <x:c r="Y2" s="8" t="str">
        <x:v>Arkusz pomocniczy. Formuły pobierają wyniki z arkusza Wyniki zawodów, zliczają starty i wybierają cztery najwyższe zdobycze punktowe.</x:v>
      </x:c>
      <x:c r="Z2" s="8" t="str">
        <x:v>Arkusz pomocniczy. Formuły pobierają wyniki z arkusza Wyniki zawodów, zliczają starty i wybierają cztery najwyższe zdobycze punktowe.</x:v>
      </x:c>
      <x:c r="AA2" s="8" t="str">
        <x:v>Arkusz pomocniczy. Formuły pobierają wyniki z arkusza Wyniki zawodów, zliczają starty i wybierają cztery najwyższe zdobycze punktowe.</x:v>
      </x:c>
    </x:row>
    <x:row r="3" ht="24" customHeight="1">
      <x:c r="A3" s="8" t="str">
        <x:v>Arkusz pomocniczy. Formuły pobierają wyniki z arkusza Wyniki zawodów, zliczają starty i wybierają cztery najwyższe zdobycze punktowe.</x:v>
      </x:c>
      <x:c r="B3" s="8" t="str">
        <x:v>Arkusz pomocniczy. Formuły pobierają wyniki z arkusza Wyniki zawodów, zliczają starty i wybierają cztery najwyższe zdobycze punktowe.</x:v>
      </x:c>
      <x:c r="C3" s="8" t="str">
        <x:v>Arkusz pomocniczy. Formuły pobierają wyniki z arkusza Wyniki zawodów, zliczają starty i wybierają cztery najwyższe zdobycze punktowe.</x:v>
      </x:c>
      <x:c r="D3" s="8" t="str">
        <x:v>Arkusz pomocniczy. Formuły pobierają wyniki z arkusza Wyniki zawodów, zliczają starty i wybierają cztery najwyższe zdobycze punktowe.</x:v>
      </x:c>
      <x:c r="E3" s="8" t="str">
        <x:v>Arkusz pomocniczy. Formuły pobierają wyniki z arkusza Wyniki zawodów, zliczają starty i wybierają cztery najwyższe zdobycze punktowe.</x:v>
      </x:c>
      <x:c r="F3" s="8" t="str">
        <x:v>Arkusz pomocniczy. Formuły pobierają wyniki z arkusza Wyniki zawodów, zliczają starty i wybierają cztery najwyższe zdobycze punktowe.</x:v>
      </x:c>
      <x:c r="G3" s="8" t="str">
        <x:v>Arkusz pomocniczy. Formuły pobierają wyniki z arkusza Wyniki zawodów, zliczają starty i wybierają cztery najwyższe zdobycze punktowe.</x:v>
      </x:c>
      <x:c r="H3" s="8" t="str">
        <x:v>Arkusz pomocniczy. Formuły pobierają wyniki z arkusza Wyniki zawodów, zliczają starty i wybierają cztery najwyższe zdobycze punktowe.</x:v>
      </x:c>
      <x:c r="I3" s="8" t="str">
        <x:v>Arkusz pomocniczy. Formuły pobierają wyniki z arkusza Wyniki zawodów, zliczają starty i wybierają cztery najwyższe zdobycze punktowe.</x:v>
      </x:c>
      <x:c r="J3" s="8" t="str">
        <x:v>Arkusz pomocniczy. Formuły pobierają wyniki z arkusza Wyniki zawodów, zliczają starty i wybierają cztery najwyższe zdobycze punktowe.</x:v>
      </x:c>
      <x:c r="K3" s="8" t="str">
        <x:v>Arkusz pomocniczy. Formuły pobierają wyniki z arkusza Wyniki zawodów, zliczają starty i wybierają cztery najwyższe zdobycze punktowe.</x:v>
      </x:c>
      <x:c r="L3" s="8" t="str">
        <x:v>Arkusz pomocniczy. Formuły pobierają wyniki z arkusza Wyniki zawodów, zliczają starty i wybierają cztery najwyższe zdobycze punktowe.</x:v>
      </x:c>
      <x:c r="M3" s="8" t="str">
        <x:v>Arkusz pomocniczy. Formuły pobierają wyniki z arkusza Wyniki zawodów, zliczają starty i wybierają cztery najwyższe zdobycze punktowe.</x:v>
      </x:c>
      <x:c r="N3" s="8" t="str">
        <x:v>Arkusz pomocniczy. Formuły pobierają wyniki z arkusza Wyniki zawodów, zliczają starty i wybierają cztery najwyższe zdobycze punktowe.</x:v>
      </x:c>
      <x:c r="O3" s="8" t="str">
        <x:v>Arkusz pomocniczy. Formuły pobierają wyniki z arkusza Wyniki zawodów, zliczają starty i wybierają cztery najwyższe zdobycze punktowe.</x:v>
      </x:c>
      <x:c r="P3" s="8" t="str">
        <x:v>Arkusz pomocniczy. Formuły pobierają wyniki z arkusza Wyniki zawodów, zliczają starty i wybierają cztery najwyższe zdobycze punktowe.</x:v>
      </x:c>
      <x:c r="Q3" s="8" t="str">
        <x:v>Arkusz pomocniczy. Formuły pobierają wyniki z arkusza Wyniki zawodów, zliczają starty i wybierają cztery najwyższe zdobycze punktowe.</x:v>
      </x:c>
      <x:c r="R3" s="8" t="str">
        <x:v>Arkusz pomocniczy. Formuły pobierają wyniki z arkusza Wyniki zawodów, zliczają starty i wybierają cztery najwyższe zdobycze punktowe.</x:v>
      </x:c>
      <x:c r="S3" s="8" t="str">
        <x:v>Arkusz pomocniczy. Formuły pobierają wyniki z arkusza Wyniki zawodów, zliczają starty i wybierają cztery najwyższe zdobycze punktowe.</x:v>
      </x:c>
      <x:c r="T3" s="8" t="str">
        <x:v>Arkusz pomocniczy. Formuły pobierają wyniki z arkusza Wyniki zawodów, zliczają starty i wybierają cztery najwyższe zdobycze punktowe.</x:v>
      </x:c>
      <x:c r="U3" s="8" t="str">
        <x:v>Arkusz pomocniczy. Formuły pobierają wyniki z arkusza Wyniki zawodów, zliczają starty i wybierają cztery najwyższe zdobycze punktowe.</x:v>
      </x:c>
      <x:c r="V3" s="8" t="str">
        <x:v>Arkusz pomocniczy. Formuły pobierają wyniki z arkusza Wyniki zawodów, zliczają starty i wybierają cztery najwyższe zdobycze punktowe.</x:v>
      </x:c>
      <x:c r="W3" s="8" t="str">
        <x:v>Arkusz pomocniczy. Formuły pobierają wyniki z arkusza Wyniki zawodów, zliczają starty i wybierają cztery najwyższe zdobycze punktowe.</x:v>
      </x:c>
      <x:c r="X3" s="8" t="str">
        <x:v>Arkusz pomocniczy. Formuły pobierają wyniki z arkusza Wyniki zawodów, zliczają starty i wybierają cztery najwyższe zdobycze punktowe.</x:v>
      </x:c>
      <x:c r="Y3" s="8" t="str">
        <x:v>Arkusz pomocniczy. Formuły pobierają wyniki z arkusza Wyniki zawodów, zliczają starty i wybierają cztery najwyższe zdobycze punktowe.</x:v>
      </x:c>
      <x:c r="Z3" s="8" t="str">
        <x:v>Arkusz pomocniczy. Formuły pobierają wyniki z arkusza Wyniki zawodów, zliczają starty i wybierają cztery najwyższe zdobycze punktowe.</x:v>
      </x:c>
      <x:c r="AA3" s="8" t="str">
        <x:v>Arkusz pomocniczy. Formuły pobierają wyniki z arkusza Wyniki zawodów, zliczają starty i wybierają cztery najwyższe zdobycze punktowe.</x:v>
      </x:c>
    </x:row>
    <x:row r="4" ht="2" customHeight="1">
      <x:c r="A4" t="str"/>
      <x:c r="B4" t="str"/>
      <x:c r="C4" t="str"/>
      <x:c r="D4" s="27" t="n">
        <x:v>1</x:v>
      </x:c>
      <x:c r="E4" s="27" t="n">
        <x:v>2</x:v>
      </x:c>
      <x:c r="F4" s="27" t="n">
        <x:v>3</x:v>
      </x:c>
      <x:c r="G4" s="27" t="n">
        <x:v>4</x:v>
      </x:c>
      <x:c r="H4" s="27" t="n">
        <x:v>5</x:v>
      </x:c>
      <x:c r="I4" s="27" t="n">
        <x:v>6</x:v>
      </x:c>
      <x:c r="J4" s="27" t="n">
        <x:v>7</x:v>
      </x:c>
      <x:c r="K4" s="27" t="n">
        <x:v>8</x:v>
      </x:c>
      <x:c r="L4" s="27" t="n">
        <x:v>9</x:v>
      </x:c>
      <x:c r="M4" s="27" t="n">
        <x:v>10</x:v>
      </x:c>
      <x:c r="N4" s="27" t="n">
        <x:v>11</x:v>
      </x:c>
      <x:c r="O4" s="27" t="n">
        <x:v>12</x:v>
      </x:c>
      <x:c r="P4" s="27" t="n">
        <x:v>13</x:v>
      </x:c>
      <x:c r="Q4" s="27" t="n">
        <x:v>14</x:v>
      </x:c>
      <x:c r="R4" s="27" t="n">
        <x:v>15</x:v>
      </x:c>
      <x:c r="S4" s="27" t="n">
        <x:v>16</x:v>
      </x:c>
      <x:c r="T4" s="27" t="n">
        <x:v>17</x:v>
      </x:c>
      <x:c r="U4" s="27" t="n">
        <x:v>18</x:v>
      </x:c>
      <x:c r="V4" s="27" t="n">
        <x:v>19</x:v>
      </x:c>
      <x:c r="W4" s="27" t="n">
        <x:v>20</x:v>
      </x:c>
      <x:c r="X4" t="str"/>
      <x:c r="Y4" t="str"/>
      <x:c r="Z4" t="str"/>
      <x:c r="AA4" t="str"/>
    </x:row>
    <x:row r="5" ht="44" customHeight="1">
      <x:c r="A5" s="14" t="str">
        <x:v>M-ce</x:v>
      </x:c>
      <x:c r="B5" s="14" t="str">
        <x:v>Zawodnik</x:v>
      </x:c>
      <x:c r="C5" s="14" t="str">
        <x:v>Liczba startów</x:v>
      </x:c>
      <x:c r="D5" s="14" t="str">
        <x:v>01
Siewierz
01.05.2026</x:v>
      </x:c>
      <x:c r="E5" s="14" t="str">
        <x:v>02
Czerwonak
30.05.2026</x:v>
      </x:c>
      <x:c r="F5" s="14" t="str">
        <x:v>03
Kleszczów
01.06.2026</x:v>
      </x:c>
      <x:c r="G5" s="14" t="str">
        <x:v>04
Ruciane-Nida
06.06.2026</x:v>
      </x:c>
      <x:c r="H5" s="14" t="str">
        <x:v>05
Prabuty
07.06.2026</x:v>
      </x:c>
      <x:c r="I5" s="14" t="str">
        <x:v>06
Tuszyn
12.06.2026</x:v>
      </x:c>
      <x:c r="J5" s="14" t="str">
        <x:v>07
Busko-Zdrój
27.06.2026</x:v>
      </x:c>
      <x:c r="K5" s="14" t="str">
        <x:v>08
Kleczew
26.07.2026</x:v>
      </x:c>
      <x:c r="L5" s="14" t="str">
        <x:v>09
Lubawka
26.07.2026</x:v>
      </x:c>
      <x:c r="M5" s="14" t="str">
        <x:v>10
Radwanice
02.08.2026</x:v>
      </x:c>
      <x:c r="N5" s="14" t="str">
        <x:v>11
Slot 11
</x:v>
      </x:c>
      <x:c r="O5" s="14" t="str">
        <x:v>12
Slot 12
</x:v>
      </x:c>
      <x:c r="P5" s="14" t="str">
        <x:v>13
Slot 13
</x:v>
      </x:c>
      <x:c r="Q5" s="14" t="str">
        <x:v>14
Slot 14
</x:v>
      </x:c>
      <x:c r="R5" s="14" t="str">
        <x:v>15
Slot 15
</x:v>
      </x:c>
      <x:c r="S5" s="14" t="str">
        <x:v>16
Slot 16
</x:v>
      </x:c>
      <x:c r="T5" s="14" t="str">
        <x:v>17
Slot 17
</x:v>
      </x:c>
      <x:c r="U5" s="14" t="str">
        <x:v>18
Slot 18
</x:v>
      </x:c>
      <x:c r="V5" s="14" t="str">
        <x:v>19
Slot 19
</x:v>
      </x:c>
      <x:c r="W5" s="14" t="str">
        <x:v>20
Slot 20
</x:v>
      </x:c>
      <x:c r="X5" s="14" t="str">
        <x:v>Suma wszystkich</x:v>
      </x:c>
      <x:c r="Y5" s="14" t="str">
        <x:v>Suma 4 najlepszych</x:v>
      </x:c>
      <x:c r="Z5" s="14" t="str">
        <x:v>Punkty odrzucone</x:v>
      </x:c>
      <x:c r="AA5" s="14" t="str">
        <x:v>Klucz sortowania</x:v>
      </x:c>
    </x:row>
    <x:row r="6">
      <x:c r="A6" s="17" t="n">
        <x:f>IF(B6="","",1+COUNTIF($Y$6:$Y$55,"&gt;"&amp;Y6))</x:f>
        <x:v>12</x:v>
      </x:c>
      <x:c r="B6" s="17" t="str">
        <x:f>IF(COUNTIF('Wyniki zawodów'!$F$6:$F$205,Zawodnicy!A6)=0,"",Zawodnicy!A6)</x:f>
        <x:v>Adam Wądołowski</x:v>
      </x:c>
      <x:c r="C6" s="17" t="n">
        <x:f>IF(B6="","",COUNTIF('Wyniki zawodów'!$F$6:$F$205,B6))</x:f>
        <x:v>2</x:v>
      </x:c>
      <x:c r="D6" s="28" t="n">
        <x:f>IF($B6="",0,SUMIFS('Wyniki zawodów'!$G$6:$G$205,'Wyniki zawodów'!$F$6:$F$205,$B6,'Wyniki zawodów'!$A$6:$A$205,D$4))</x:f>
        <x:v>0</x:v>
      </x:c>
      <x:c r="E6" s="28" t="n">
        <x:f>IF($B6="",0,SUMIFS('Wyniki zawodów'!$G$6:$G$205,'Wyniki zawodów'!$F$6:$F$205,$B6,'Wyniki zawodów'!$A$6:$A$205,E$4))</x:f>
        <x:v>0</x:v>
      </x:c>
      <x:c r="F6" s="28" t="n">
        <x:f>IF($B6="",0,SUMIFS('Wyniki zawodów'!$G$6:$G$205,'Wyniki zawodów'!$F$6:$F$205,$B6,'Wyniki zawodów'!$A$6:$A$205,F$4))</x:f>
        <x:v>0</x:v>
      </x:c>
      <x:c r="G6" s="28" t="n">
        <x:f>IF($B6="",0,SUMIFS('Wyniki zawodów'!$G$6:$G$205,'Wyniki zawodów'!$F$6:$F$205,$B6,'Wyniki zawodów'!$A$6:$A$205,G$4))</x:f>
        <x:v>0</x:v>
      </x:c>
      <x:c r="H6" s="28" t="n">
        <x:f>IF($B6="",0,SUMIFS('Wyniki zawodów'!$G$6:$G$205,'Wyniki zawodów'!$F$6:$F$205,$B6,'Wyniki zawodów'!$A$6:$A$205,H$4))</x:f>
        <x:v>0</x:v>
      </x:c>
      <x:c r="I6" s="28" t="n">
        <x:f>IF($B6="",0,SUMIFS('Wyniki zawodów'!$G$6:$G$205,'Wyniki zawodów'!$F$6:$F$205,$B6,'Wyniki zawodów'!$A$6:$A$205,I$4))</x:f>
        <x:v>1</x:v>
      </x:c>
      <x:c r="J6" s="28" t="n">
        <x:f>IF($B6="",0,SUMIFS('Wyniki zawodów'!$G$6:$G$205,'Wyniki zawodów'!$F$6:$F$205,$B6,'Wyniki zawodów'!$A$6:$A$205,J$4))</x:f>
        <x:v>0</x:v>
      </x:c>
      <x:c r="K6" s="28" t="n">
        <x:f>IF($B6="",0,SUMIFS('Wyniki zawodów'!$G$6:$G$205,'Wyniki zawodów'!$F$6:$F$205,$B6,'Wyniki zawodów'!$A$6:$A$205,K$4))</x:f>
        <x:v>2</x:v>
      </x:c>
      <x:c r="L6" s="28" t="n">
        <x:f>IF($B6="",0,SUMIFS('Wyniki zawodów'!$G$6:$G$205,'Wyniki zawodów'!$F$6:$F$205,$B6,'Wyniki zawodów'!$A$6:$A$205,L$4))</x:f>
        <x:v>0</x:v>
      </x:c>
      <x:c r="M6" s="28" t="n">
        <x:f>IF($B6="",0,SUMIFS('Wyniki zawodów'!$G$6:$G$205,'Wyniki zawodów'!$F$6:$F$205,$B6,'Wyniki zawodów'!$A$6:$A$205,M$4))</x:f>
        <x:v>0</x:v>
      </x:c>
      <x:c r="N6" s="28" t="n">
        <x:f>IF($B6="",0,SUMIFS('Wyniki zawodów'!$G$6:$G$205,'Wyniki zawodów'!$F$6:$F$205,$B6,'Wyniki zawodów'!$A$6:$A$205,N$4))</x:f>
        <x:v>0</x:v>
      </x:c>
      <x:c r="O6" s="28" t="n">
        <x:f>IF($B6="",0,SUMIFS('Wyniki zawodów'!$G$6:$G$205,'Wyniki zawodów'!$F$6:$F$205,$B6,'Wyniki zawodów'!$A$6:$A$205,O$4))</x:f>
        <x:v>0</x:v>
      </x:c>
      <x:c r="P6" s="28" t="n">
        <x:f>IF($B6="",0,SUMIFS('Wyniki zawodów'!$G$6:$G$205,'Wyniki zawodów'!$F$6:$F$205,$B6,'Wyniki zawodów'!$A$6:$A$205,P$4))</x:f>
        <x:v>0</x:v>
      </x:c>
      <x:c r="Q6" s="28" t="n">
        <x:f>IF($B6="",0,SUMIFS('Wyniki zawodów'!$G$6:$G$205,'Wyniki zawodów'!$F$6:$F$205,$B6,'Wyniki zawodów'!$A$6:$A$205,Q$4))</x:f>
        <x:v>0</x:v>
      </x:c>
      <x:c r="R6" s="28" t="n">
        <x:f>IF($B6="",0,SUMIFS('Wyniki zawodów'!$G$6:$G$205,'Wyniki zawodów'!$F$6:$F$205,$B6,'Wyniki zawodów'!$A$6:$A$205,R$4))</x:f>
        <x:v>0</x:v>
      </x:c>
      <x:c r="S6" s="28" t="n">
        <x:f>IF($B6="",0,SUMIFS('Wyniki zawodów'!$G$6:$G$205,'Wyniki zawodów'!$F$6:$F$205,$B6,'Wyniki zawodów'!$A$6:$A$205,S$4))</x:f>
        <x:v>0</x:v>
      </x:c>
      <x:c r="T6" s="28" t="n">
        <x:f>IF($B6="",0,SUMIFS('Wyniki zawodów'!$G$6:$G$205,'Wyniki zawodów'!$F$6:$F$205,$B6,'Wyniki zawodów'!$A$6:$A$205,T$4))</x:f>
        <x:v>0</x:v>
      </x:c>
      <x:c r="U6" s="28" t="n">
        <x:f>IF($B6="",0,SUMIFS('Wyniki zawodów'!$G$6:$G$205,'Wyniki zawodów'!$F$6:$F$205,$B6,'Wyniki zawodów'!$A$6:$A$205,U$4))</x:f>
        <x:v>0</x:v>
      </x:c>
      <x:c r="V6" s="28" t="n">
        <x:f>IF($B6="",0,SUMIFS('Wyniki zawodów'!$G$6:$G$205,'Wyniki zawodów'!$F$6:$F$205,$B6,'Wyniki zawodów'!$A$6:$A$205,V$4))</x:f>
        <x:v>0</x:v>
      </x:c>
      <x:c r="W6" s="28" t="n">
        <x:f>IF($B6="",0,SUMIFS('Wyniki zawodów'!$G$6:$G$205,'Wyniki zawodów'!$F$6:$F$205,$B6,'Wyniki zawodów'!$A$6:$A$205,W$4))</x:f>
        <x:v>0</x:v>
      </x:c>
      <x:c r="X6" s="17" t="n">
        <x:f>IF(B6="","",SUM(D6:W6))</x:f>
        <x:v>3</x:v>
      </x:c>
      <x:c r="Y6" s="29" t="n">
        <x:f>IF(B6="","",LARGE(D6:W6,1)+LARGE(D6:W6,2)+LARGE(D6:W6,3)+LARGE(D6:W6,4))</x:f>
        <x:v>3</x:v>
      </x:c>
      <x:c r="Z6" s="17" t="n">
        <x:f>IF(B6="","",X6-Y6)</x:f>
        <x:v>0</x:v>
      </x:c>
      <x:c r="AA6" s="17" t="n">
        <x:f>IF(B6="",0,Y6*1000+(100-ROW()))</x:f>
        <x:v>3094</x:v>
      </x:c>
    </x:row>
    <x:row r="7">
      <x:c r="A7" s="17" t="n">
        <x:f>IF(B7="","",1+COUNTIF($Y$6:$Y$55,"&gt;"&amp;Y7))</x:f>
        <x:v>6</x:v>
      </x:c>
      <x:c r="B7" s="17" t="str">
        <x:f>IF(COUNTIF('Wyniki zawodów'!$F$6:$F$205,Zawodnicy!A7)=0,"",Zawodnicy!A7)</x:f>
        <x:v>Bartłomiej Bąbol</x:v>
      </x:c>
      <x:c r="C7" s="17" t="n">
        <x:f>IF(B7="","",COUNTIF('Wyniki zawodów'!$F$6:$F$205,B7))</x:f>
        <x:v>5</x:v>
      </x:c>
      <x:c r="D7" s="28" t="n">
        <x:f>IF($B7="",0,SUMIFS('Wyniki zawodów'!$G$6:$G$205,'Wyniki zawodów'!$F$6:$F$205,$B7,'Wyniki zawodów'!$A$6:$A$205,D$4))</x:f>
        <x:v>3</x:v>
      </x:c>
      <x:c r="E7" s="28" t="n">
        <x:f>IF($B7="",0,SUMIFS('Wyniki zawodów'!$G$6:$G$205,'Wyniki zawodów'!$F$6:$F$205,$B7,'Wyniki zawodów'!$A$6:$A$205,E$4))</x:f>
        <x:v>0</x:v>
      </x:c>
      <x:c r="F7" s="28" t="n">
        <x:f>IF($B7="",0,SUMIFS('Wyniki zawodów'!$G$6:$G$205,'Wyniki zawodów'!$F$6:$F$205,$B7,'Wyniki zawodów'!$A$6:$A$205,F$4))</x:f>
        <x:v>3</x:v>
      </x:c>
      <x:c r="G7" s="28" t="n">
        <x:f>IF($B7="",0,SUMIFS('Wyniki zawodów'!$G$6:$G$205,'Wyniki zawodów'!$F$6:$F$205,$B7,'Wyniki zawodów'!$A$6:$A$205,G$4))</x:f>
        <x:v>0</x:v>
      </x:c>
      <x:c r="H7" s="28" t="n">
        <x:f>IF($B7="",0,SUMIFS('Wyniki zawodów'!$G$6:$G$205,'Wyniki zawodów'!$F$6:$F$205,$B7,'Wyniki zawodów'!$A$6:$A$205,H$4))</x:f>
        <x:v>3</x:v>
      </x:c>
      <x:c r="I7" s="28" t="n">
        <x:f>IF($B7="",0,SUMIFS('Wyniki zawodów'!$G$6:$G$205,'Wyniki zawodów'!$F$6:$F$205,$B7,'Wyniki zawodów'!$A$6:$A$205,I$4))</x:f>
        <x:v>2</x:v>
      </x:c>
      <x:c r="J7" s="28" t="n">
        <x:f>IF($B7="",0,SUMIFS('Wyniki zawodów'!$G$6:$G$205,'Wyniki zawodów'!$F$6:$F$205,$B7,'Wyniki zawodów'!$A$6:$A$205,J$4))</x:f>
        <x:v>4</x:v>
      </x:c>
      <x:c r="K7" s="28" t="n">
        <x:f>IF($B7="",0,SUMIFS('Wyniki zawodów'!$G$6:$G$205,'Wyniki zawodów'!$F$6:$F$205,$B7,'Wyniki zawodów'!$A$6:$A$205,K$4))</x:f>
        <x:v>0</x:v>
      </x:c>
      <x:c r="L7" s="28" t="n">
        <x:f>IF($B7="",0,SUMIFS('Wyniki zawodów'!$G$6:$G$205,'Wyniki zawodów'!$F$6:$F$205,$B7,'Wyniki zawodów'!$A$6:$A$205,L$4))</x:f>
        <x:v>0</x:v>
      </x:c>
      <x:c r="M7" s="28" t="n">
        <x:f>IF($B7="",0,SUMIFS('Wyniki zawodów'!$G$6:$G$205,'Wyniki zawodów'!$F$6:$F$205,$B7,'Wyniki zawodów'!$A$6:$A$205,M$4))</x:f>
        <x:v>0</x:v>
      </x:c>
      <x:c r="N7" s="28" t="n">
        <x:f>IF($B7="",0,SUMIFS('Wyniki zawodów'!$G$6:$G$205,'Wyniki zawodów'!$F$6:$F$205,$B7,'Wyniki zawodów'!$A$6:$A$205,N$4))</x:f>
        <x:v>0</x:v>
      </x:c>
      <x:c r="O7" s="28" t="n">
        <x:f>IF($B7="",0,SUMIFS('Wyniki zawodów'!$G$6:$G$205,'Wyniki zawodów'!$F$6:$F$205,$B7,'Wyniki zawodów'!$A$6:$A$205,O$4))</x:f>
        <x:v>0</x:v>
      </x:c>
      <x:c r="P7" s="28" t="n">
        <x:f>IF($B7="",0,SUMIFS('Wyniki zawodów'!$G$6:$G$205,'Wyniki zawodów'!$F$6:$F$205,$B7,'Wyniki zawodów'!$A$6:$A$205,P$4))</x:f>
        <x:v>0</x:v>
      </x:c>
      <x:c r="Q7" s="28" t="n">
        <x:f>IF($B7="",0,SUMIFS('Wyniki zawodów'!$G$6:$G$205,'Wyniki zawodów'!$F$6:$F$205,$B7,'Wyniki zawodów'!$A$6:$A$205,Q$4))</x:f>
        <x:v>0</x:v>
      </x:c>
      <x:c r="R7" s="28" t="n">
        <x:f>IF($B7="",0,SUMIFS('Wyniki zawodów'!$G$6:$G$205,'Wyniki zawodów'!$F$6:$F$205,$B7,'Wyniki zawodów'!$A$6:$A$205,R$4))</x:f>
        <x:v>0</x:v>
      </x:c>
      <x:c r="S7" s="28" t="n">
        <x:f>IF($B7="",0,SUMIFS('Wyniki zawodów'!$G$6:$G$205,'Wyniki zawodów'!$F$6:$F$205,$B7,'Wyniki zawodów'!$A$6:$A$205,S$4))</x:f>
        <x:v>0</x:v>
      </x:c>
      <x:c r="T7" s="28" t="n">
        <x:f>IF($B7="",0,SUMIFS('Wyniki zawodów'!$G$6:$G$205,'Wyniki zawodów'!$F$6:$F$205,$B7,'Wyniki zawodów'!$A$6:$A$205,T$4))</x:f>
        <x:v>0</x:v>
      </x:c>
      <x:c r="U7" s="28" t="n">
        <x:f>IF($B7="",0,SUMIFS('Wyniki zawodów'!$G$6:$G$205,'Wyniki zawodów'!$F$6:$F$205,$B7,'Wyniki zawodów'!$A$6:$A$205,U$4))</x:f>
        <x:v>0</x:v>
      </x:c>
      <x:c r="V7" s="28" t="n">
        <x:f>IF($B7="",0,SUMIFS('Wyniki zawodów'!$G$6:$G$205,'Wyniki zawodów'!$F$6:$F$205,$B7,'Wyniki zawodów'!$A$6:$A$205,V$4))</x:f>
        <x:v>0</x:v>
      </x:c>
      <x:c r="W7" s="28" t="n">
        <x:f>IF($B7="",0,SUMIFS('Wyniki zawodów'!$G$6:$G$205,'Wyniki zawodów'!$F$6:$F$205,$B7,'Wyniki zawodów'!$A$6:$A$205,W$4))</x:f>
        <x:v>0</x:v>
      </x:c>
      <x:c r="X7" s="17" t="n">
        <x:f>IF(B7="","",SUM(D7:W7))</x:f>
        <x:v>15</x:v>
      </x:c>
      <x:c r="Y7" s="29" t="n">
        <x:f>IF(B7="","",LARGE(D7:W7,1)+LARGE(D7:W7,2)+LARGE(D7:W7,3)+LARGE(D7:W7,4))</x:f>
        <x:v>13</x:v>
      </x:c>
      <x:c r="Z7" s="17" t="n">
        <x:f>IF(B7="","",X7-Y7)</x:f>
        <x:v>2</x:v>
      </x:c>
      <x:c r="AA7" s="17" t="n">
        <x:f>IF(B7="",0,Y7*1000+(100-ROW()))</x:f>
        <x:v>13093</x:v>
      </x:c>
    </x:row>
    <x:row r="8">
      <x:c r="A8" s="17" t="n">
        <x:f>IF(B8="","",1+COUNTIF($Y$6:$Y$55,"&gt;"&amp;Y8))</x:f>
        <x:v>8</x:v>
      </x:c>
      <x:c r="B8" s="17" t="str">
        <x:f>IF(COUNTIF('Wyniki zawodów'!$F$6:$F$205,Zawodnicy!A8)=0,"",Zawodnicy!A8)</x:f>
        <x:v>Bartosz Postój</x:v>
      </x:c>
      <x:c r="C8" s="17" t="n">
        <x:f>IF(B8="","",COUNTIF('Wyniki zawodów'!$F$6:$F$205,B8))</x:f>
        <x:v>5</x:v>
      </x:c>
      <x:c r="D8" s="28" t="n">
        <x:f>IF($B8="",0,SUMIFS('Wyniki zawodów'!$G$6:$G$205,'Wyniki zawodów'!$F$6:$F$205,$B8,'Wyniki zawodów'!$A$6:$A$205,D$4))</x:f>
        <x:v>2</x:v>
      </x:c>
      <x:c r="E8" s="28" t="n">
        <x:f>IF($B8="",0,SUMIFS('Wyniki zawodów'!$G$6:$G$205,'Wyniki zawodów'!$F$6:$F$205,$B8,'Wyniki zawodów'!$A$6:$A$205,E$4))</x:f>
        <x:v>0</x:v>
      </x:c>
      <x:c r="F8" s="28" t="n">
        <x:f>IF($B8="",0,SUMIFS('Wyniki zawodów'!$G$6:$G$205,'Wyniki zawodów'!$F$6:$F$205,$B8,'Wyniki zawodów'!$A$6:$A$205,F$4))</x:f>
        <x:v>2</x:v>
      </x:c>
      <x:c r="G8" s="28" t="n">
        <x:f>IF($B8="",0,SUMIFS('Wyniki zawodów'!$G$6:$G$205,'Wyniki zawodów'!$F$6:$F$205,$B8,'Wyniki zawodów'!$A$6:$A$205,G$4))</x:f>
        <x:v>0</x:v>
      </x:c>
      <x:c r="H8" s="28" t="n">
        <x:f>IF($B8="",0,SUMIFS('Wyniki zawodów'!$G$6:$G$205,'Wyniki zawodów'!$F$6:$F$205,$B8,'Wyniki zawodów'!$A$6:$A$205,H$4))</x:f>
        <x:v>0</x:v>
      </x:c>
      <x:c r="I8" s="28" t="n">
        <x:f>IF($B8="",0,SUMIFS('Wyniki zawodów'!$G$6:$G$205,'Wyniki zawodów'!$F$6:$F$205,$B8,'Wyniki zawodów'!$A$6:$A$205,I$4))</x:f>
        <x:v>4</x:v>
      </x:c>
      <x:c r="J8" s="28" t="n">
        <x:f>IF($B8="",0,SUMIFS('Wyniki zawodów'!$G$6:$G$205,'Wyniki zawodów'!$F$6:$F$205,$B8,'Wyniki zawodów'!$A$6:$A$205,J$4))</x:f>
        <x:v>2</x:v>
      </x:c>
      <x:c r="K8" s="28" t="n">
        <x:f>IF($B8="",0,SUMIFS('Wyniki zawodów'!$G$6:$G$205,'Wyniki zawodów'!$F$6:$F$205,$B8,'Wyniki zawodów'!$A$6:$A$205,K$4))</x:f>
        <x:v>0</x:v>
      </x:c>
      <x:c r="L8" s="28" t="n">
        <x:f>IF($B8="",0,SUMIFS('Wyniki zawodów'!$G$6:$G$205,'Wyniki zawodów'!$F$6:$F$205,$B8,'Wyniki zawodów'!$A$6:$A$205,L$4))</x:f>
        <x:v>2</x:v>
      </x:c>
      <x:c r="M8" s="28" t="n">
        <x:f>IF($B8="",0,SUMIFS('Wyniki zawodów'!$G$6:$G$205,'Wyniki zawodów'!$F$6:$F$205,$B8,'Wyniki zawodów'!$A$6:$A$205,M$4))</x:f>
        <x:v>0</x:v>
      </x:c>
      <x:c r="N8" s="28" t="n">
        <x:f>IF($B8="",0,SUMIFS('Wyniki zawodów'!$G$6:$G$205,'Wyniki zawodów'!$F$6:$F$205,$B8,'Wyniki zawodów'!$A$6:$A$205,N$4))</x:f>
        <x:v>0</x:v>
      </x:c>
      <x:c r="O8" s="28" t="n">
        <x:f>IF($B8="",0,SUMIFS('Wyniki zawodów'!$G$6:$G$205,'Wyniki zawodów'!$F$6:$F$205,$B8,'Wyniki zawodów'!$A$6:$A$205,O$4))</x:f>
        <x:v>0</x:v>
      </x:c>
      <x:c r="P8" s="28" t="n">
        <x:f>IF($B8="",0,SUMIFS('Wyniki zawodów'!$G$6:$G$205,'Wyniki zawodów'!$F$6:$F$205,$B8,'Wyniki zawodów'!$A$6:$A$205,P$4))</x:f>
        <x:v>0</x:v>
      </x:c>
      <x:c r="Q8" s="28" t="n">
        <x:f>IF($B8="",0,SUMIFS('Wyniki zawodów'!$G$6:$G$205,'Wyniki zawodów'!$F$6:$F$205,$B8,'Wyniki zawodów'!$A$6:$A$205,Q$4))</x:f>
        <x:v>0</x:v>
      </x:c>
      <x:c r="R8" s="28" t="n">
        <x:f>IF($B8="",0,SUMIFS('Wyniki zawodów'!$G$6:$G$205,'Wyniki zawodów'!$F$6:$F$205,$B8,'Wyniki zawodów'!$A$6:$A$205,R$4))</x:f>
        <x:v>0</x:v>
      </x:c>
      <x:c r="S8" s="28" t="n">
        <x:f>IF($B8="",0,SUMIFS('Wyniki zawodów'!$G$6:$G$205,'Wyniki zawodów'!$F$6:$F$205,$B8,'Wyniki zawodów'!$A$6:$A$205,S$4))</x:f>
        <x:v>0</x:v>
      </x:c>
      <x:c r="T8" s="28" t="n">
        <x:f>IF($B8="",0,SUMIFS('Wyniki zawodów'!$G$6:$G$205,'Wyniki zawodów'!$F$6:$F$205,$B8,'Wyniki zawodów'!$A$6:$A$205,T$4))</x:f>
        <x:v>0</x:v>
      </x:c>
      <x:c r="U8" s="28" t="n">
        <x:f>IF($B8="",0,SUMIFS('Wyniki zawodów'!$G$6:$G$205,'Wyniki zawodów'!$F$6:$F$205,$B8,'Wyniki zawodów'!$A$6:$A$205,U$4))</x:f>
        <x:v>0</x:v>
      </x:c>
      <x:c r="V8" s="28" t="n">
        <x:f>IF($B8="",0,SUMIFS('Wyniki zawodów'!$G$6:$G$205,'Wyniki zawodów'!$F$6:$F$205,$B8,'Wyniki zawodów'!$A$6:$A$205,V$4))</x:f>
        <x:v>0</x:v>
      </x:c>
      <x:c r="W8" s="28" t="n">
        <x:f>IF($B8="",0,SUMIFS('Wyniki zawodów'!$G$6:$G$205,'Wyniki zawodów'!$F$6:$F$205,$B8,'Wyniki zawodów'!$A$6:$A$205,W$4))</x:f>
        <x:v>0</x:v>
      </x:c>
      <x:c r="X8" s="17" t="n">
        <x:f>IF(B8="","",SUM(D8:W8))</x:f>
        <x:v>12</x:v>
      </x:c>
      <x:c r="Y8" s="29" t="n">
        <x:f>IF(B8="","",LARGE(D8:W8,1)+LARGE(D8:W8,2)+LARGE(D8:W8,3)+LARGE(D8:W8,4))</x:f>
        <x:v>10</x:v>
      </x:c>
      <x:c r="Z8" s="17" t="n">
        <x:f>IF(B8="","",X8-Y8)</x:f>
        <x:v>2</x:v>
      </x:c>
      <x:c r="AA8" s="17" t="n">
        <x:f>IF(B8="",0,Y8*1000+(100-ROW()))</x:f>
        <x:v>10092</x:v>
      </x:c>
    </x:row>
    <x:row r="9">
      <x:c r="A9" s="17" t="n">
        <x:f>IF(B9="","",1+COUNTIF($Y$6:$Y$55,"&gt;"&amp;Y9))</x:f>
        <x:v>5</x:v>
      </x:c>
      <x:c r="B9" s="17" t="str">
        <x:f>IF(COUNTIF('Wyniki zawodów'!$F$6:$F$205,Zawodnicy!A9)=0,"",Zawodnicy!A9)</x:f>
        <x:v>Jakub Szczechowski</x:v>
      </x:c>
      <x:c r="C9" s="17" t="n">
        <x:f>IF(B9="","",COUNTIF('Wyniki zawodów'!$F$6:$F$205,B9))</x:f>
        <x:v>3</x:v>
      </x:c>
      <x:c r="D9" s="28" t="n">
        <x:f>IF($B9="",0,SUMIFS('Wyniki zawodów'!$G$6:$G$205,'Wyniki zawodów'!$F$6:$F$205,$B9,'Wyniki zawodów'!$A$6:$A$205,D$4))</x:f>
        <x:v>0</x:v>
      </x:c>
      <x:c r="E9" s="28" t="n">
        <x:f>IF($B9="",0,SUMIFS('Wyniki zawodów'!$G$6:$G$205,'Wyniki zawodów'!$F$6:$F$205,$B9,'Wyniki zawodów'!$A$6:$A$205,E$4))</x:f>
        <x:v>5</x:v>
      </x:c>
      <x:c r="F9" s="28" t="n">
        <x:f>IF($B9="",0,SUMIFS('Wyniki zawodów'!$G$6:$G$205,'Wyniki zawodów'!$F$6:$F$205,$B9,'Wyniki zawodów'!$A$6:$A$205,F$4))</x:f>
        <x:v>0</x:v>
      </x:c>
      <x:c r="G9" s="28" t="n">
        <x:f>IF($B9="",0,SUMIFS('Wyniki zawodów'!$G$6:$G$205,'Wyniki zawodów'!$F$6:$F$205,$B9,'Wyniki zawodów'!$A$6:$A$205,G$4))</x:f>
        <x:v>0</x:v>
      </x:c>
      <x:c r="H9" s="28" t="n">
        <x:f>IF($B9="",0,SUMIFS('Wyniki zawodów'!$G$6:$G$205,'Wyniki zawodów'!$F$6:$F$205,$B9,'Wyniki zawodów'!$A$6:$A$205,H$4))</x:f>
        <x:v>4</x:v>
      </x:c>
      <x:c r="I9" s="28" t="n">
        <x:f>IF($B9="",0,SUMIFS('Wyniki zawodów'!$G$6:$G$205,'Wyniki zawodów'!$F$6:$F$205,$B9,'Wyniki zawodów'!$A$6:$A$205,I$4))</x:f>
        <x:v>0</x:v>
      </x:c>
      <x:c r="J9" s="28" t="n">
        <x:f>IF($B9="",0,SUMIFS('Wyniki zawodów'!$G$6:$G$205,'Wyniki zawodów'!$F$6:$F$205,$B9,'Wyniki zawodów'!$A$6:$A$205,J$4))</x:f>
        <x:v>0</x:v>
      </x:c>
      <x:c r="K9" s="28" t="n">
        <x:f>IF($B9="",0,SUMIFS('Wyniki zawodów'!$G$6:$G$205,'Wyniki zawodów'!$F$6:$F$205,$B9,'Wyniki zawodów'!$A$6:$A$205,K$4))</x:f>
        <x:v>0</x:v>
      </x:c>
      <x:c r="L9" s="28" t="n">
        <x:f>IF($B9="",0,SUMIFS('Wyniki zawodów'!$G$6:$G$205,'Wyniki zawodów'!$F$6:$F$205,$B9,'Wyniki zawodów'!$A$6:$A$205,L$4))</x:f>
        <x:v>0</x:v>
      </x:c>
      <x:c r="M9" s="28" t="n">
        <x:f>IF($B9="",0,SUMIFS('Wyniki zawodów'!$G$6:$G$205,'Wyniki zawodów'!$F$6:$F$205,$B9,'Wyniki zawodów'!$A$6:$A$205,M$4))</x:f>
        <x:v>5</x:v>
      </x:c>
      <x:c r="N9" s="28" t="n">
        <x:f>IF($B9="",0,SUMIFS('Wyniki zawodów'!$G$6:$G$205,'Wyniki zawodów'!$F$6:$F$205,$B9,'Wyniki zawodów'!$A$6:$A$205,N$4))</x:f>
        <x:v>0</x:v>
      </x:c>
      <x:c r="O9" s="28" t="n">
        <x:f>IF($B9="",0,SUMIFS('Wyniki zawodów'!$G$6:$G$205,'Wyniki zawodów'!$F$6:$F$205,$B9,'Wyniki zawodów'!$A$6:$A$205,O$4))</x:f>
        <x:v>0</x:v>
      </x:c>
      <x:c r="P9" s="28" t="n">
        <x:f>IF($B9="",0,SUMIFS('Wyniki zawodów'!$G$6:$G$205,'Wyniki zawodów'!$F$6:$F$205,$B9,'Wyniki zawodów'!$A$6:$A$205,P$4))</x:f>
        <x:v>0</x:v>
      </x:c>
      <x:c r="Q9" s="28" t="n">
        <x:f>IF($B9="",0,SUMIFS('Wyniki zawodów'!$G$6:$G$205,'Wyniki zawodów'!$F$6:$F$205,$B9,'Wyniki zawodów'!$A$6:$A$205,Q$4))</x:f>
        <x:v>0</x:v>
      </x:c>
      <x:c r="R9" s="28" t="n">
        <x:f>IF($B9="",0,SUMIFS('Wyniki zawodów'!$G$6:$G$205,'Wyniki zawodów'!$F$6:$F$205,$B9,'Wyniki zawodów'!$A$6:$A$205,R$4))</x:f>
        <x:v>0</x:v>
      </x:c>
      <x:c r="S9" s="28" t="n">
        <x:f>IF($B9="",0,SUMIFS('Wyniki zawodów'!$G$6:$G$205,'Wyniki zawodów'!$F$6:$F$205,$B9,'Wyniki zawodów'!$A$6:$A$205,S$4))</x:f>
        <x:v>0</x:v>
      </x:c>
      <x:c r="T9" s="28" t="n">
        <x:f>IF($B9="",0,SUMIFS('Wyniki zawodów'!$G$6:$G$205,'Wyniki zawodów'!$F$6:$F$205,$B9,'Wyniki zawodów'!$A$6:$A$205,T$4))</x:f>
        <x:v>0</x:v>
      </x:c>
      <x:c r="U9" s="28" t="n">
        <x:f>IF($B9="",0,SUMIFS('Wyniki zawodów'!$G$6:$G$205,'Wyniki zawodów'!$F$6:$F$205,$B9,'Wyniki zawodów'!$A$6:$A$205,U$4))</x:f>
        <x:v>0</x:v>
      </x:c>
      <x:c r="V9" s="28" t="n">
        <x:f>IF($B9="",0,SUMIFS('Wyniki zawodów'!$G$6:$G$205,'Wyniki zawodów'!$F$6:$F$205,$B9,'Wyniki zawodów'!$A$6:$A$205,V$4))</x:f>
        <x:v>0</x:v>
      </x:c>
      <x:c r="W9" s="28" t="n">
        <x:f>IF($B9="",0,SUMIFS('Wyniki zawodów'!$G$6:$G$205,'Wyniki zawodów'!$F$6:$F$205,$B9,'Wyniki zawodów'!$A$6:$A$205,W$4))</x:f>
        <x:v>0</x:v>
      </x:c>
      <x:c r="X9" s="17" t="n">
        <x:f>IF(B9="","",SUM(D9:W9))</x:f>
        <x:v>14</x:v>
      </x:c>
      <x:c r="Y9" s="29" t="n">
        <x:f>IF(B9="","",LARGE(D9:W9,1)+LARGE(D9:W9,2)+LARGE(D9:W9,3)+LARGE(D9:W9,4))</x:f>
        <x:v>14</x:v>
      </x:c>
      <x:c r="Z9" s="17" t="n">
        <x:f>IF(B9="","",X9-Y9)</x:f>
        <x:v>0</x:v>
      </x:c>
      <x:c r="AA9" s="17" t="n">
        <x:f>IF(B9="",0,Y9*1000+(100-ROW()))</x:f>
        <x:v>14091</x:v>
      </x:c>
    </x:row>
    <x:row r="10">
      <x:c r="A10" s="17" t="str">
        <x:f>IF(B10="","",1+COUNTIF($Y$6:$Y$55,"&gt;"&amp;Y10))</x:f>
      </x:c>
      <x:c r="B10" s="17" t="str">
        <x:f>IF(COUNTIF('Wyniki zawodów'!$F$6:$F$205,Zawodnicy!A10)=0,"",Zawodnicy!A10)</x:f>
      </x:c>
      <x:c r="C10" s="17" t="str">
        <x:f>IF(B10="","",COUNTIF('Wyniki zawodów'!$F$6:$F$205,B10))</x:f>
      </x:c>
      <x:c r="D10" s="28" t="n">
        <x:f>IF($B10="",0,SUMIFS('Wyniki zawodów'!$G$6:$G$205,'Wyniki zawodów'!$F$6:$F$205,$B10,'Wyniki zawodów'!$A$6:$A$205,D$4))</x:f>
        <x:v>0</x:v>
      </x:c>
      <x:c r="E10" s="28" t="n">
        <x:f>IF($B10="",0,SUMIFS('Wyniki zawodów'!$G$6:$G$205,'Wyniki zawodów'!$F$6:$F$205,$B10,'Wyniki zawodów'!$A$6:$A$205,E$4))</x:f>
        <x:v>0</x:v>
      </x:c>
      <x:c r="F10" s="28" t="n">
        <x:f>IF($B10="",0,SUMIFS('Wyniki zawodów'!$G$6:$G$205,'Wyniki zawodów'!$F$6:$F$205,$B10,'Wyniki zawodów'!$A$6:$A$205,F$4))</x:f>
        <x:v>0</x:v>
      </x:c>
      <x:c r="G10" s="28" t="n">
        <x:f>IF($B10="",0,SUMIFS('Wyniki zawodów'!$G$6:$G$205,'Wyniki zawodów'!$F$6:$F$205,$B10,'Wyniki zawodów'!$A$6:$A$205,G$4))</x:f>
        <x:v>0</x:v>
      </x:c>
      <x:c r="H10" s="28" t="n">
        <x:f>IF($B10="",0,SUMIFS('Wyniki zawodów'!$G$6:$G$205,'Wyniki zawodów'!$F$6:$F$205,$B10,'Wyniki zawodów'!$A$6:$A$205,H$4))</x:f>
        <x:v>0</x:v>
      </x:c>
      <x:c r="I10" s="28" t="n">
        <x:f>IF($B10="",0,SUMIFS('Wyniki zawodów'!$G$6:$G$205,'Wyniki zawodów'!$F$6:$F$205,$B10,'Wyniki zawodów'!$A$6:$A$205,I$4))</x:f>
        <x:v>0</x:v>
      </x:c>
      <x:c r="J10" s="28" t="n">
        <x:f>IF($B10="",0,SUMIFS('Wyniki zawodów'!$G$6:$G$205,'Wyniki zawodów'!$F$6:$F$205,$B10,'Wyniki zawodów'!$A$6:$A$205,J$4))</x:f>
        <x:v>0</x:v>
      </x:c>
      <x:c r="K10" s="28" t="n">
        <x:f>IF($B10="",0,SUMIFS('Wyniki zawodów'!$G$6:$G$205,'Wyniki zawodów'!$F$6:$F$205,$B10,'Wyniki zawodów'!$A$6:$A$205,K$4))</x:f>
        <x:v>0</x:v>
      </x:c>
      <x:c r="L10" s="28" t="n">
        <x:f>IF($B10="",0,SUMIFS('Wyniki zawodów'!$G$6:$G$205,'Wyniki zawodów'!$F$6:$F$205,$B10,'Wyniki zawodów'!$A$6:$A$205,L$4))</x:f>
        <x:v>0</x:v>
      </x:c>
      <x:c r="M10" s="28" t="n">
        <x:f>IF($B10="",0,SUMIFS('Wyniki zawodów'!$G$6:$G$205,'Wyniki zawodów'!$F$6:$F$205,$B10,'Wyniki zawodów'!$A$6:$A$205,M$4))</x:f>
        <x:v>0</x:v>
      </x:c>
      <x:c r="N10" s="28" t="n">
        <x:f>IF($B10="",0,SUMIFS('Wyniki zawodów'!$G$6:$G$205,'Wyniki zawodów'!$F$6:$F$205,$B10,'Wyniki zawodów'!$A$6:$A$205,N$4))</x:f>
        <x:v>0</x:v>
      </x:c>
      <x:c r="O10" s="28" t="n">
        <x:f>IF($B10="",0,SUMIFS('Wyniki zawodów'!$G$6:$G$205,'Wyniki zawodów'!$F$6:$F$205,$B10,'Wyniki zawodów'!$A$6:$A$205,O$4))</x:f>
        <x:v>0</x:v>
      </x:c>
      <x:c r="P10" s="28" t="n">
        <x:f>IF($B10="",0,SUMIFS('Wyniki zawodów'!$G$6:$G$205,'Wyniki zawodów'!$F$6:$F$205,$B10,'Wyniki zawodów'!$A$6:$A$205,P$4))</x:f>
        <x:v>0</x:v>
      </x:c>
      <x:c r="Q10" s="28" t="n">
        <x:f>IF($B10="",0,SUMIFS('Wyniki zawodów'!$G$6:$G$205,'Wyniki zawodów'!$F$6:$F$205,$B10,'Wyniki zawodów'!$A$6:$A$205,Q$4))</x:f>
        <x:v>0</x:v>
      </x:c>
      <x:c r="R10" s="28" t="n">
        <x:f>IF($B10="",0,SUMIFS('Wyniki zawodów'!$G$6:$G$205,'Wyniki zawodów'!$F$6:$F$205,$B10,'Wyniki zawodów'!$A$6:$A$205,R$4))</x:f>
        <x:v>0</x:v>
      </x:c>
      <x:c r="S10" s="28" t="n">
        <x:f>IF($B10="",0,SUMIFS('Wyniki zawodów'!$G$6:$G$205,'Wyniki zawodów'!$F$6:$F$205,$B10,'Wyniki zawodów'!$A$6:$A$205,S$4))</x:f>
        <x:v>0</x:v>
      </x:c>
      <x:c r="T10" s="28" t="n">
        <x:f>IF($B10="",0,SUMIFS('Wyniki zawodów'!$G$6:$G$205,'Wyniki zawodów'!$F$6:$F$205,$B10,'Wyniki zawodów'!$A$6:$A$205,T$4))</x:f>
        <x:v>0</x:v>
      </x:c>
      <x:c r="U10" s="28" t="n">
        <x:f>IF($B10="",0,SUMIFS('Wyniki zawodów'!$G$6:$G$205,'Wyniki zawodów'!$F$6:$F$205,$B10,'Wyniki zawodów'!$A$6:$A$205,U$4))</x:f>
        <x:v>0</x:v>
      </x:c>
      <x:c r="V10" s="28" t="n">
        <x:f>IF($B10="",0,SUMIFS('Wyniki zawodów'!$G$6:$G$205,'Wyniki zawodów'!$F$6:$F$205,$B10,'Wyniki zawodów'!$A$6:$A$205,V$4))</x:f>
        <x:v>0</x:v>
      </x:c>
      <x:c r="W10" s="28" t="n">
        <x:f>IF($B10="",0,SUMIFS('Wyniki zawodów'!$G$6:$G$205,'Wyniki zawodów'!$F$6:$F$205,$B10,'Wyniki zawodów'!$A$6:$A$205,W$4))</x:f>
        <x:v>0</x:v>
      </x:c>
      <x:c r="X10" s="17" t="str">
        <x:f>IF(B10="","",SUM(D10:W10))</x:f>
      </x:c>
      <x:c r="Y10" s="29" t="str">
        <x:f>IF(B10="","",LARGE(D10:W10,1)+LARGE(D10:W10,2)+LARGE(D10:W10,3)+LARGE(D10:W10,4))</x:f>
      </x:c>
      <x:c r="Z10" s="17" t="str">
        <x:f>IF(B10="","",X10-Y10)</x:f>
      </x:c>
      <x:c r="AA10" s="17" t="n">
        <x:f>IF(B10="",0,Y10*1000+(100-ROW()))</x:f>
        <x:v>0</x:v>
      </x:c>
    </x:row>
    <x:row r="11">
      <x:c r="A11" s="17" t="str">
        <x:f>IF(B11="","",1+COUNTIF($Y$6:$Y$55,"&gt;"&amp;Y11))</x:f>
      </x:c>
      <x:c r="B11" s="17" t="str">
        <x:f>IF(COUNTIF('Wyniki zawodów'!$F$6:$F$205,Zawodnicy!A11)=0,"",Zawodnicy!A11)</x:f>
      </x:c>
      <x:c r="C11" s="17" t="str">
        <x:f>IF(B11="","",COUNTIF('Wyniki zawodów'!$F$6:$F$205,B11))</x:f>
      </x:c>
      <x:c r="D11" s="28" t="n">
        <x:f>IF($B11="",0,SUMIFS('Wyniki zawodów'!$G$6:$G$205,'Wyniki zawodów'!$F$6:$F$205,$B11,'Wyniki zawodów'!$A$6:$A$205,D$4))</x:f>
        <x:v>0</x:v>
      </x:c>
      <x:c r="E11" s="28" t="n">
        <x:f>IF($B11="",0,SUMIFS('Wyniki zawodów'!$G$6:$G$205,'Wyniki zawodów'!$F$6:$F$205,$B11,'Wyniki zawodów'!$A$6:$A$205,E$4))</x:f>
        <x:v>0</x:v>
      </x:c>
      <x:c r="F11" s="28" t="n">
        <x:f>IF($B11="",0,SUMIFS('Wyniki zawodów'!$G$6:$G$205,'Wyniki zawodów'!$F$6:$F$205,$B11,'Wyniki zawodów'!$A$6:$A$205,F$4))</x:f>
        <x:v>0</x:v>
      </x:c>
      <x:c r="G11" s="28" t="n">
        <x:f>IF($B11="",0,SUMIFS('Wyniki zawodów'!$G$6:$G$205,'Wyniki zawodów'!$F$6:$F$205,$B11,'Wyniki zawodów'!$A$6:$A$205,G$4))</x:f>
        <x:v>0</x:v>
      </x:c>
      <x:c r="H11" s="28" t="n">
        <x:f>IF($B11="",0,SUMIFS('Wyniki zawodów'!$G$6:$G$205,'Wyniki zawodów'!$F$6:$F$205,$B11,'Wyniki zawodów'!$A$6:$A$205,H$4))</x:f>
        <x:v>0</x:v>
      </x:c>
      <x:c r="I11" s="28" t="n">
        <x:f>IF($B11="",0,SUMIFS('Wyniki zawodów'!$G$6:$G$205,'Wyniki zawodów'!$F$6:$F$205,$B11,'Wyniki zawodów'!$A$6:$A$205,I$4))</x:f>
        <x:v>0</x:v>
      </x:c>
      <x:c r="J11" s="28" t="n">
        <x:f>IF($B11="",0,SUMIFS('Wyniki zawodów'!$G$6:$G$205,'Wyniki zawodów'!$F$6:$F$205,$B11,'Wyniki zawodów'!$A$6:$A$205,J$4))</x:f>
        <x:v>0</x:v>
      </x:c>
      <x:c r="K11" s="28" t="n">
        <x:f>IF($B11="",0,SUMIFS('Wyniki zawodów'!$G$6:$G$205,'Wyniki zawodów'!$F$6:$F$205,$B11,'Wyniki zawodów'!$A$6:$A$205,K$4))</x:f>
        <x:v>0</x:v>
      </x:c>
      <x:c r="L11" s="28" t="n">
        <x:f>IF($B11="",0,SUMIFS('Wyniki zawodów'!$G$6:$G$205,'Wyniki zawodów'!$F$6:$F$205,$B11,'Wyniki zawodów'!$A$6:$A$205,L$4))</x:f>
        <x:v>0</x:v>
      </x:c>
      <x:c r="M11" s="28" t="n">
        <x:f>IF($B11="",0,SUMIFS('Wyniki zawodów'!$G$6:$G$205,'Wyniki zawodów'!$F$6:$F$205,$B11,'Wyniki zawodów'!$A$6:$A$205,M$4))</x:f>
        <x:v>0</x:v>
      </x:c>
      <x:c r="N11" s="28" t="n">
        <x:f>IF($B11="",0,SUMIFS('Wyniki zawodów'!$G$6:$G$205,'Wyniki zawodów'!$F$6:$F$205,$B11,'Wyniki zawodów'!$A$6:$A$205,N$4))</x:f>
        <x:v>0</x:v>
      </x:c>
      <x:c r="O11" s="28" t="n">
        <x:f>IF($B11="",0,SUMIFS('Wyniki zawodów'!$G$6:$G$205,'Wyniki zawodów'!$F$6:$F$205,$B11,'Wyniki zawodów'!$A$6:$A$205,O$4))</x:f>
        <x:v>0</x:v>
      </x:c>
      <x:c r="P11" s="28" t="n">
        <x:f>IF($B11="",0,SUMIFS('Wyniki zawodów'!$G$6:$G$205,'Wyniki zawodów'!$F$6:$F$205,$B11,'Wyniki zawodów'!$A$6:$A$205,P$4))</x:f>
        <x:v>0</x:v>
      </x:c>
      <x:c r="Q11" s="28" t="n">
        <x:f>IF($B11="",0,SUMIFS('Wyniki zawodów'!$G$6:$G$205,'Wyniki zawodów'!$F$6:$F$205,$B11,'Wyniki zawodów'!$A$6:$A$205,Q$4))</x:f>
        <x:v>0</x:v>
      </x:c>
      <x:c r="R11" s="28" t="n">
        <x:f>IF($B11="",0,SUMIFS('Wyniki zawodów'!$G$6:$G$205,'Wyniki zawodów'!$F$6:$F$205,$B11,'Wyniki zawodów'!$A$6:$A$205,R$4))</x:f>
        <x:v>0</x:v>
      </x:c>
      <x:c r="S11" s="28" t="n">
        <x:f>IF($B11="",0,SUMIFS('Wyniki zawodów'!$G$6:$G$205,'Wyniki zawodów'!$F$6:$F$205,$B11,'Wyniki zawodów'!$A$6:$A$205,S$4))</x:f>
        <x:v>0</x:v>
      </x:c>
      <x:c r="T11" s="28" t="n">
        <x:f>IF($B11="",0,SUMIFS('Wyniki zawodów'!$G$6:$G$205,'Wyniki zawodów'!$F$6:$F$205,$B11,'Wyniki zawodów'!$A$6:$A$205,T$4))</x:f>
        <x:v>0</x:v>
      </x:c>
      <x:c r="U11" s="28" t="n">
        <x:f>IF($B11="",0,SUMIFS('Wyniki zawodów'!$G$6:$G$205,'Wyniki zawodów'!$F$6:$F$205,$B11,'Wyniki zawodów'!$A$6:$A$205,U$4))</x:f>
        <x:v>0</x:v>
      </x:c>
      <x:c r="V11" s="28" t="n">
        <x:f>IF($B11="",0,SUMIFS('Wyniki zawodów'!$G$6:$G$205,'Wyniki zawodów'!$F$6:$F$205,$B11,'Wyniki zawodów'!$A$6:$A$205,V$4))</x:f>
        <x:v>0</x:v>
      </x:c>
      <x:c r="W11" s="28" t="n">
        <x:f>IF($B11="",0,SUMIFS('Wyniki zawodów'!$G$6:$G$205,'Wyniki zawodów'!$F$6:$F$205,$B11,'Wyniki zawodów'!$A$6:$A$205,W$4))</x:f>
        <x:v>0</x:v>
      </x:c>
      <x:c r="X11" s="17" t="str">
        <x:f>IF(B11="","",SUM(D11:W11))</x:f>
      </x:c>
      <x:c r="Y11" s="29" t="str">
        <x:f>IF(B11="","",LARGE(D11:W11,1)+LARGE(D11:W11,2)+LARGE(D11:W11,3)+LARGE(D11:W11,4))</x:f>
      </x:c>
      <x:c r="Z11" s="17" t="str">
        <x:f>IF(B11="","",X11-Y11)</x:f>
      </x:c>
      <x:c r="AA11" s="17" t="n">
        <x:f>IF(B11="",0,Y11*1000+(100-ROW()))</x:f>
        <x:v>0</x:v>
      </x:c>
    </x:row>
    <x:row r="12">
      <x:c r="A12" s="17" t="str">
        <x:f>IF(B12="","",1+COUNTIF($Y$6:$Y$55,"&gt;"&amp;Y12))</x:f>
      </x:c>
      <x:c r="B12" s="17" t="str">
        <x:f>IF(COUNTIF('Wyniki zawodów'!$F$6:$F$205,Zawodnicy!A12)=0,"",Zawodnicy!A12)</x:f>
      </x:c>
      <x:c r="C12" s="17" t="str">
        <x:f>IF(B12="","",COUNTIF('Wyniki zawodów'!$F$6:$F$205,B12))</x:f>
      </x:c>
      <x:c r="D12" s="28" t="n">
        <x:f>IF($B12="",0,SUMIFS('Wyniki zawodów'!$G$6:$G$205,'Wyniki zawodów'!$F$6:$F$205,$B12,'Wyniki zawodów'!$A$6:$A$205,D$4))</x:f>
        <x:v>0</x:v>
      </x:c>
      <x:c r="E12" s="28" t="n">
        <x:f>IF($B12="",0,SUMIFS('Wyniki zawodów'!$G$6:$G$205,'Wyniki zawodów'!$F$6:$F$205,$B12,'Wyniki zawodów'!$A$6:$A$205,E$4))</x:f>
        <x:v>0</x:v>
      </x:c>
      <x:c r="F12" s="28" t="n">
        <x:f>IF($B12="",0,SUMIFS('Wyniki zawodów'!$G$6:$G$205,'Wyniki zawodów'!$F$6:$F$205,$B12,'Wyniki zawodów'!$A$6:$A$205,F$4))</x:f>
        <x:v>0</x:v>
      </x:c>
      <x:c r="G12" s="28" t="n">
        <x:f>IF($B12="",0,SUMIFS('Wyniki zawodów'!$G$6:$G$205,'Wyniki zawodów'!$F$6:$F$205,$B12,'Wyniki zawodów'!$A$6:$A$205,G$4))</x:f>
        <x:v>0</x:v>
      </x:c>
      <x:c r="H12" s="28" t="n">
        <x:f>IF($B12="",0,SUMIFS('Wyniki zawodów'!$G$6:$G$205,'Wyniki zawodów'!$F$6:$F$205,$B12,'Wyniki zawodów'!$A$6:$A$205,H$4))</x:f>
        <x:v>0</x:v>
      </x:c>
      <x:c r="I12" s="28" t="n">
        <x:f>IF($B12="",0,SUMIFS('Wyniki zawodów'!$G$6:$G$205,'Wyniki zawodów'!$F$6:$F$205,$B12,'Wyniki zawodów'!$A$6:$A$205,I$4))</x:f>
        <x:v>0</x:v>
      </x:c>
      <x:c r="J12" s="28" t="n">
        <x:f>IF($B12="",0,SUMIFS('Wyniki zawodów'!$G$6:$G$205,'Wyniki zawodów'!$F$6:$F$205,$B12,'Wyniki zawodów'!$A$6:$A$205,J$4))</x:f>
        <x:v>0</x:v>
      </x:c>
      <x:c r="K12" s="28" t="n">
        <x:f>IF($B12="",0,SUMIFS('Wyniki zawodów'!$G$6:$G$205,'Wyniki zawodów'!$F$6:$F$205,$B12,'Wyniki zawodów'!$A$6:$A$205,K$4))</x:f>
        <x:v>0</x:v>
      </x:c>
      <x:c r="L12" s="28" t="n">
        <x:f>IF($B12="",0,SUMIFS('Wyniki zawodów'!$G$6:$G$205,'Wyniki zawodów'!$F$6:$F$205,$B12,'Wyniki zawodów'!$A$6:$A$205,L$4))</x:f>
        <x:v>0</x:v>
      </x:c>
      <x:c r="M12" s="28" t="n">
        <x:f>IF($B12="",0,SUMIFS('Wyniki zawodów'!$G$6:$G$205,'Wyniki zawodów'!$F$6:$F$205,$B12,'Wyniki zawodów'!$A$6:$A$205,M$4))</x:f>
        <x:v>0</x:v>
      </x:c>
      <x:c r="N12" s="28" t="n">
        <x:f>IF($B12="",0,SUMIFS('Wyniki zawodów'!$G$6:$G$205,'Wyniki zawodów'!$F$6:$F$205,$B12,'Wyniki zawodów'!$A$6:$A$205,N$4))</x:f>
        <x:v>0</x:v>
      </x:c>
      <x:c r="O12" s="28" t="n">
        <x:f>IF($B12="",0,SUMIFS('Wyniki zawodów'!$G$6:$G$205,'Wyniki zawodów'!$F$6:$F$205,$B12,'Wyniki zawodów'!$A$6:$A$205,O$4))</x:f>
        <x:v>0</x:v>
      </x:c>
      <x:c r="P12" s="28" t="n">
        <x:f>IF($B12="",0,SUMIFS('Wyniki zawodów'!$G$6:$G$205,'Wyniki zawodów'!$F$6:$F$205,$B12,'Wyniki zawodów'!$A$6:$A$205,P$4))</x:f>
        <x:v>0</x:v>
      </x:c>
      <x:c r="Q12" s="28" t="n">
        <x:f>IF($B12="",0,SUMIFS('Wyniki zawodów'!$G$6:$G$205,'Wyniki zawodów'!$F$6:$F$205,$B12,'Wyniki zawodów'!$A$6:$A$205,Q$4))</x:f>
        <x:v>0</x:v>
      </x:c>
      <x:c r="R12" s="28" t="n">
        <x:f>IF($B12="",0,SUMIFS('Wyniki zawodów'!$G$6:$G$205,'Wyniki zawodów'!$F$6:$F$205,$B12,'Wyniki zawodów'!$A$6:$A$205,R$4))</x:f>
        <x:v>0</x:v>
      </x:c>
      <x:c r="S12" s="28" t="n">
        <x:f>IF($B12="",0,SUMIFS('Wyniki zawodów'!$G$6:$G$205,'Wyniki zawodów'!$F$6:$F$205,$B12,'Wyniki zawodów'!$A$6:$A$205,S$4))</x:f>
        <x:v>0</x:v>
      </x:c>
      <x:c r="T12" s="28" t="n">
        <x:f>IF($B12="",0,SUMIFS('Wyniki zawodów'!$G$6:$G$205,'Wyniki zawodów'!$F$6:$F$205,$B12,'Wyniki zawodów'!$A$6:$A$205,T$4))</x:f>
        <x:v>0</x:v>
      </x:c>
      <x:c r="U12" s="28" t="n">
        <x:f>IF($B12="",0,SUMIFS('Wyniki zawodów'!$G$6:$G$205,'Wyniki zawodów'!$F$6:$F$205,$B12,'Wyniki zawodów'!$A$6:$A$205,U$4))</x:f>
        <x:v>0</x:v>
      </x:c>
      <x:c r="V12" s="28" t="n">
        <x:f>IF($B12="",0,SUMIFS('Wyniki zawodów'!$G$6:$G$205,'Wyniki zawodów'!$F$6:$F$205,$B12,'Wyniki zawodów'!$A$6:$A$205,V$4))</x:f>
        <x:v>0</x:v>
      </x:c>
      <x:c r="W12" s="28" t="n">
        <x:f>IF($B12="",0,SUMIFS('Wyniki zawodów'!$G$6:$G$205,'Wyniki zawodów'!$F$6:$F$205,$B12,'Wyniki zawodów'!$A$6:$A$205,W$4))</x:f>
        <x:v>0</x:v>
      </x:c>
      <x:c r="X12" s="17" t="str">
        <x:f>IF(B12="","",SUM(D12:W12))</x:f>
      </x:c>
      <x:c r="Y12" s="29" t="str">
        <x:f>IF(B12="","",LARGE(D12:W12,1)+LARGE(D12:W12,2)+LARGE(D12:W12,3)+LARGE(D12:W12,4))</x:f>
      </x:c>
      <x:c r="Z12" s="17" t="str">
        <x:f>IF(B12="","",X12-Y12)</x:f>
      </x:c>
      <x:c r="AA12" s="17" t="n">
        <x:f>IF(B12="",0,Y12*1000+(100-ROW()))</x:f>
        <x:v>0</x:v>
      </x:c>
    </x:row>
    <x:row r="13">
      <x:c r="A13" s="17" t="str">
        <x:f>IF(B13="","",1+COUNTIF($Y$6:$Y$55,"&gt;"&amp;Y13))</x:f>
      </x:c>
      <x:c r="B13" s="17" t="str">
        <x:f>IF(COUNTIF('Wyniki zawodów'!$F$6:$F$205,Zawodnicy!A13)=0,"",Zawodnicy!A13)</x:f>
      </x:c>
      <x:c r="C13" s="17" t="str">
        <x:f>IF(B13="","",COUNTIF('Wyniki zawodów'!$F$6:$F$205,B13))</x:f>
      </x:c>
      <x:c r="D13" s="28" t="n">
        <x:f>IF($B13="",0,SUMIFS('Wyniki zawodów'!$G$6:$G$205,'Wyniki zawodów'!$F$6:$F$205,$B13,'Wyniki zawodów'!$A$6:$A$205,D$4))</x:f>
        <x:v>0</x:v>
      </x:c>
      <x:c r="E13" s="28" t="n">
        <x:f>IF($B13="",0,SUMIFS('Wyniki zawodów'!$G$6:$G$205,'Wyniki zawodów'!$F$6:$F$205,$B13,'Wyniki zawodów'!$A$6:$A$205,E$4))</x:f>
        <x:v>0</x:v>
      </x:c>
      <x:c r="F13" s="28" t="n">
        <x:f>IF($B13="",0,SUMIFS('Wyniki zawodów'!$G$6:$G$205,'Wyniki zawodów'!$F$6:$F$205,$B13,'Wyniki zawodów'!$A$6:$A$205,F$4))</x:f>
        <x:v>0</x:v>
      </x:c>
      <x:c r="G13" s="28" t="n">
        <x:f>IF($B13="",0,SUMIFS('Wyniki zawodów'!$G$6:$G$205,'Wyniki zawodów'!$F$6:$F$205,$B13,'Wyniki zawodów'!$A$6:$A$205,G$4))</x:f>
        <x:v>0</x:v>
      </x:c>
      <x:c r="H13" s="28" t="n">
        <x:f>IF($B13="",0,SUMIFS('Wyniki zawodów'!$G$6:$G$205,'Wyniki zawodów'!$F$6:$F$205,$B13,'Wyniki zawodów'!$A$6:$A$205,H$4))</x:f>
        <x:v>0</x:v>
      </x:c>
      <x:c r="I13" s="28" t="n">
        <x:f>IF($B13="",0,SUMIFS('Wyniki zawodów'!$G$6:$G$205,'Wyniki zawodów'!$F$6:$F$205,$B13,'Wyniki zawodów'!$A$6:$A$205,I$4))</x:f>
        <x:v>0</x:v>
      </x:c>
      <x:c r="J13" s="28" t="n">
        <x:f>IF($B13="",0,SUMIFS('Wyniki zawodów'!$G$6:$G$205,'Wyniki zawodów'!$F$6:$F$205,$B13,'Wyniki zawodów'!$A$6:$A$205,J$4))</x:f>
        <x:v>0</x:v>
      </x:c>
      <x:c r="K13" s="28" t="n">
        <x:f>IF($B13="",0,SUMIFS('Wyniki zawodów'!$G$6:$G$205,'Wyniki zawodów'!$F$6:$F$205,$B13,'Wyniki zawodów'!$A$6:$A$205,K$4))</x:f>
        <x:v>0</x:v>
      </x:c>
      <x:c r="L13" s="28" t="n">
        <x:f>IF($B13="",0,SUMIFS('Wyniki zawodów'!$G$6:$G$205,'Wyniki zawodów'!$F$6:$F$205,$B13,'Wyniki zawodów'!$A$6:$A$205,L$4))</x:f>
        <x:v>0</x:v>
      </x:c>
      <x:c r="M13" s="28" t="n">
        <x:f>IF($B13="",0,SUMIFS('Wyniki zawodów'!$G$6:$G$205,'Wyniki zawodów'!$F$6:$F$205,$B13,'Wyniki zawodów'!$A$6:$A$205,M$4))</x:f>
        <x:v>0</x:v>
      </x:c>
      <x:c r="N13" s="28" t="n">
        <x:f>IF($B13="",0,SUMIFS('Wyniki zawodów'!$G$6:$G$205,'Wyniki zawodów'!$F$6:$F$205,$B13,'Wyniki zawodów'!$A$6:$A$205,N$4))</x:f>
        <x:v>0</x:v>
      </x:c>
      <x:c r="O13" s="28" t="n">
        <x:f>IF($B13="",0,SUMIFS('Wyniki zawodów'!$G$6:$G$205,'Wyniki zawodów'!$F$6:$F$205,$B13,'Wyniki zawodów'!$A$6:$A$205,O$4))</x:f>
        <x:v>0</x:v>
      </x:c>
      <x:c r="P13" s="28" t="n">
        <x:f>IF($B13="",0,SUMIFS('Wyniki zawodów'!$G$6:$G$205,'Wyniki zawodów'!$F$6:$F$205,$B13,'Wyniki zawodów'!$A$6:$A$205,P$4))</x:f>
        <x:v>0</x:v>
      </x:c>
      <x:c r="Q13" s="28" t="n">
        <x:f>IF($B13="",0,SUMIFS('Wyniki zawodów'!$G$6:$G$205,'Wyniki zawodów'!$F$6:$F$205,$B13,'Wyniki zawodów'!$A$6:$A$205,Q$4))</x:f>
        <x:v>0</x:v>
      </x:c>
      <x:c r="R13" s="28" t="n">
        <x:f>IF($B13="",0,SUMIFS('Wyniki zawodów'!$G$6:$G$205,'Wyniki zawodów'!$F$6:$F$205,$B13,'Wyniki zawodów'!$A$6:$A$205,R$4))</x:f>
        <x:v>0</x:v>
      </x:c>
      <x:c r="S13" s="28" t="n">
        <x:f>IF($B13="",0,SUMIFS('Wyniki zawodów'!$G$6:$G$205,'Wyniki zawodów'!$F$6:$F$205,$B13,'Wyniki zawodów'!$A$6:$A$205,S$4))</x:f>
        <x:v>0</x:v>
      </x:c>
      <x:c r="T13" s="28" t="n">
        <x:f>IF($B13="",0,SUMIFS('Wyniki zawodów'!$G$6:$G$205,'Wyniki zawodów'!$F$6:$F$205,$B13,'Wyniki zawodów'!$A$6:$A$205,T$4))</x:f>
        <x:v>0</x:v>
      </x:c>
      <x:c r="U13" s="28" t="n">
        <x:f>IF($B13="",0,SUMIFS('Wyniki zawodów'!$G$6:$G$205,'Wyniki zawodów'!$F$6:$F$205,$B13,'Wyniki zawodów'!$A$6:$A$205,U$4))</x:f>
        <x:v>0</x:v>
      </x:c>
      <x:c r="V13" s="28" t="n">
        <x:f>IF($B13="",0,SUMIFS('Wyniki zawodów'!$G$6:$G$205,'Wyniki zawodów'!$F$6:$F$205,$B13,'Wyniki zawodów'!$A$6:$A$205,V$4))</x:f>
        <x:v>0</x:v>
      </x:c>
      <x:c r="W13" s="28" t="n">
        <x:f>IF($B13="",0,SUMIFS('Wyniki zawodów'!$G$6:$G$205,'Wyniki zawodów'!$F$6:$F$205,$B13,'Wyniki zawodów'!$A$6:$A$205,W$4))</x:f>
        <x:v>0</x:v>
      </x:c>
      <x:c r="X13" s="17" t="str">
        <x:f>IF(B13="","",SUM(D13:W13))</x:f>
      </x:c>
      <x:c r="Y13" s="29" t="str">
        <x:f>IF(B13="","",LARGE(D13:W13,1)+LARGE(D13:W13,2)+LARGE(D13:W13,3)+LARGE(D13:W13,4))</x:f>
      </x:c>
      <x:c r="Z13" s="17" t="str">
        <x:f>IF(B13="","",X13-Y13)</x:f>
      </x:c>
      <x:c r="AA13" s="17" t="n">
        <x:f>IF(B13="",0,Y13*1000+(100-ROW()))</x:f>
        <x:v>0</x:v>
      </x:c>
    </x:row>
    <x:row r="14">
      <x:c r="A14" s="17" t="n">
        <x:f>IF(B14="","",1+COUNTIF($Y$6:$Y$55,"&gt;"&amp;Y14))</x:f>
        <x:v>9</x:v>
      </x:c>
      <x:c r="B14" s="17" t="str">
        <x:f>IF(COUNTIF('Wyniki zawodów'!$F$6:$F$205,Zawodnicy!A14)=0,"",Zawodnicy!A14)</x:f>
        <x:v>Krzysztof Kacnerski</x:v>
      </x:c>
      <x:c r="C14" s="17" t="n">
        <x:f>IF(B14="","",COUNTIF('Wyniki zawodów'!$F$6:$F$205,B14))</x:f>
        <x:v>4</x:v>
      </x:c>
      <x:c r="D14" s="28" t="n">
        <x:f>IF($B14="",0,SUMIFS('Wyniki zawodów'!$G$6:$G$205,'Wyniki zawodów'!$F$6:$F$205,$B14,'Wyniki zawodów'!$A$6:$A$205,D$4))</x:f>
        <x:v>1</x:v>
      </x:c>
      <x:c r="E14" s="28" t="n">
        <x:f>IF($B14="",0,SUMIFS('Wyniki zawodów'!$G$6:$G$205,'Wyniki zawodów'!$F$6:$F$205,$B14,'Wyniki zawodów'!$A$6:$A$205,E$4))</x:f>
        <x:v>0</x:v>
      </x:c>
      <x:c r="F14" s="28" t="n">
        <x:f>IF($B14="",0,SUMIFS('Wyniki zawodów'!$G$6:$G$205,'Wyniki zawodów'!$F$6:$F$205,$B14,'Wyniki zawodów'!$A$6:$A$205,F$4))</x:f>
        <x:v>0</x:v>
      </x:c>
      <x:c r="G14" s="28" t="n">
        <x:f>IF($B14="",0,SUMIFS('Wyniki zawodów'!$G$6:$G$205,'Wyniki zawodów'!$F$6:$F$205,$B14,'Wyniki zawodów'!$A$6:$A$205,G$4))</x:f>
        <x:v>0</x:v>
      </x:c>
      <x:c r="H14" s="28" t="n">
        <x:f>IF($B14="",0,SUMIFS('Wyniki zawodów'!$G$6:$G$205,'Wyniki zawodów'!$F$6:$F$205,$B14,'Wyniki zawodów'!$A$6:$A$205,H$4))</x:f>
        <x:v>1</x:v>
      </x:c>
      <x:c r="I14" s="28" t="n">
        <x:f>IF($B14="",0,SUMIFS('Wyniki zawodów'!$G$6:$G$205,'Wyniki zawodów'!$F$6:$F$205,$B14,'Wyniki zawodów'!$A$6:$A$205,I$4))</x:f>
        <x:v>0</x:v>
      </x:c>
      <x:c r="J14" s="28" t="n">
        <x:f>IF($B14="",0,SUMIFS('Wyniki zawodów'!$G$6:$G$205,'Wyniki zawodów'!$F$6:$F$205,$B14,'Wyniki zawodów'!$A$6:$A$205,J$4))</x:f>
        <x:v>0</x:v>
      </x:c>
      <x:c r="K14" s="28" t="n">
        <x:f>IF($B14="",0,SUMIFS('Wyniki zawodów'!$G$6:$G$205,'Wyniki zawodów'!$F$6:$F$205,$B14,'Wyniki zawodów'!$A$6:$A$205,K$4))</x:f>
        <x:v>1</x:v>
      </x:c>
      <x:c r="L14" s="28" t="n">
        <x:f>IF($B14="",0,SUMIFS('Wyniki zawodów'!$G$6:$G$205,'Wyniki zawodów'!$F$6:$F$205,$B14,'Wyniki zawodów'!$A$6:$A$205,L$4))</x:f>
        <x:v>0</x:v>
      </x:c>
      <x:c r="M14" s="28" t="n">
        <x:f>IF($B14="",0,SUMIFS('Wyniki zawodów'!$G$6:$G$205,'Wyniki zawodów'!$F$6:$F$205,$B14,'Wyniki zawodów'!$A$6:$A$205,M$4))</x:f>
        <x:v>2</x:v>
      </x:c>
      <x:c r="N14" s="28" t="n">
        <x:f>IF($B14="",0,SUMIFS('Wyniki zawodów'!$G$6:$G$205,'Wyniki zawodów'!$F$6:$F$205,$B14,'Wyniki zawodów'!$A$6:$A$205,N$4))</x:f>
        <x:v>0</x:v>
      </x:c>
      <x:c r="O14" s="28" t="n">
        <x:f>IF($B14="",0,SUMIFS('Wyniki zawodów'!$G$6:$G$205,'Wyniki zawodów'!$F$6:$F$205,$B14,'Wyniki zawodów'!$A$6:$A$205,O$4))</x:f>
        <x:v>0</x:v>
      </x:c>
      <x:c r="P14" s="28" t="n">
        <x:f>IF($B14="",0,SUMIFS('Wyniki zawodów'!$G$6:$G$205,'Wyniki zawodów'!$F$6:$F$205,$B14,'Wyniki zawodów'!$A$6:$A$205,P$4))</x:f>
        <x:v>0</x:v>
      </x:c>
      <x:c r="Q14" s="28" t="n">
        <x:f>IF($B14="",0,SUMIFS('Wyniki zawodów'!$G$6:$G$205,'Wyniki zawodów'!$F$6:$F$205,$B14,'Wyniki zawodów'!$A$6:$A$205,Q$4))</x:f>
        <x:v>0</x:v>
      </x:c>
      <x:c r="R14" s="28" t="n">
        <x:f>IF($B14="",0,SUMIFS('Wyniki zawodów'!$G$6:$G$205,'Wyniki zawodów'!$F$6:$F$205,$B14,'Wyniki zawodów'!$A$6:$A$205,R$4))</x:f>
        <x:v>0</x:v>
      </x:c>
      <x:c r="S14" s="28" t="n">
        <x:f>IF($B14="",0,SUMIFS('Wyniki zawodów'!$G$6:$G$205,'Wyniki zawodów'!$F$6:$F$205,$B14,'Wyniki zawodów'!$A$6:$A$205,S$4))</x:f>
        <x:v>0</x:v>
      </x:c>
      <x:c r="T14" s="28" t="n">
        <x:f>IF($B14="",0,SUMIFS('Wyniki zawodów'!$G$6:$G$205,'Wyniki zawodów'!$F$6:$F$205,$B14,'Wyniki zawodów'!$A$6:$A$205,T$4))</x:f>
        <x:v>0</x:v>
      </x:c>
      <x:c r="U14" s="28" t="n">
        <x:f>IF($B14="",0,SUMIFS('Wyniki zawodów'!$G$6:$G$205,'Wyniki zawodów'!$F$6:$F$205,$B14,'Wyniki zawodów'!$A$6:$A$205,U$4))</x:f>
        <x:v>0</x:v>
      </x:c>
      <x:c r="V14" s="28" t="n">
        <x:f>IF($B14="",0,SUMIFS('Wyniki zawodów'!$G$6:$G$205,'Wyniki zawodów'!$F$6:$F$205,$B14,'Wyniki zawodów'!$A$6:$A$205,V$4))</x:f>
        <x:v>0</x:v>
      </x:c>
      <x:c r="W14" s="28" t="n">
        <x:f>IF($B14="",0,SUMIFS('Wyniki zawodów'!$G$6:$G$205,'Wyniki zawodów'!$F$6:$F$205,$B14,'Wyniki zawodów'!$A$6:$A$205,W$4))</x:f>
        <x:v>0</x:v>
      </x:c>
      <x:c r="X14" s="17" t="n">
        <x:f>IF(B14="","",SUM(D14:W14))</x:f>
        <x:v>5</x:v>
      </x:c>
      <x:c r="Y14" s="29" t="n">
        <x:f>IF(B14="","",LARGE(D14:W14,1)+LARGE(D14:W14,2)+LARGE(D14:W14,3)+LARGE(D14:W14,4))</x:f>
        <x:v>5</x:v>
      </x:c>
      <x:c r="Z14" s="17" t="n">
        <x:f>IF(B14="","",X14-Y14)</x:f>
        <x:v>0</x:v>
      </x:c>
      <x:c r="AA14" s="17" t="n">
        <x:f>IF(B14="",0,Y14*1000+(100-ROW()))</x:f>
        <x:v>5086</x:v>
      </x:c>
    </x:row>
    <x:row r="15">
      <x:c r="A15" s="17" t="n">
        <x:f>IF(B15="","",1+COUNTIF($Y$6:$Y$55,"&gt;"&amp;Y15))</x:f>
        <x:v>2</x:v>
      </x:c>
      <x:c r="B15" s="17" t="str">
        <x:f>IF(COUNTIF('Wyniki zawodów'!$F$6:$F$205,Zawodnicy!A15)=0,"",Zawodnicy!A15)</x:f>
        <x:v>Łukasz Kieliszkowski</x:v>
      </x:c>
      <x:c r="C15" s="17" t="n">
        <x:f>IF(B15="","",COUNTIF('Wyniki zawodów'!$F$6:$F$205,B15))</x:f>
        <x:v>4</x:v>
      </x:c>
      <x:c r="D15" s="28" t="n">
        <x:f>IF($B15="",0,SUMIFS('Wyniki zawodów'!$G$6:$G$205,'Wyniki zawodów'!$F$6:$F$205,$B15,'Wyniki zawodów'!$A$6:$A$205,D$4))</x:f>
        <x:v>5</x:v>
      </x:c>
      <x:c r="E15" s="28" t="n">
        <x:f>IF($B15="",0,SUMIFS('Wyniki zawodów'!$G$6:$G$205,'Wyniki zawodów'!$F$6:$F$205,$B15,'Wyniki zawodów'!$A$6:$A$205,E$4))</x:f>
        <x:v>0</x:v>
      </x:c>
      <x:c r="F15" s="28" t="n">
        <x:f>IF($B15="",0,SUMIFS('Wyniki zawodów'!$G$6:$G$205,'Wyniki zawodów'!$F$6:$F$205,$B15,'Wyniki zawodów'!$A$6:$A$205,F$4))</x:f>
        <x:v>5</x:v>
      </x:c>
      <x:c r="G15" s="28" t="n">
        <x:f>IF($B15="",0,SUMIFS('Wyniki zawodów'!$G$6:$G$205,'Wyniki zawodów'!$F$6:$F$205,$B15,'Wyniki zawodów'!$A$6:$A$205,G$4))</x:f>
        <x:v>0</x:v>
      </x:c>
      <x:c r="H15" s="28" t="n">
        <x:f>IF($B15="",0,SUMIFS('Wyniki zawodów'!$G$6:$G$205,'Wyniki zawodów'!$F$6:$F$205,$B15,'Wyniki zawodów'!$A$6:$A$205,H$4))</x:f>
        <x:v>5</x:v>
      </x:c>
      <x:c r="I15" s="28" t="n">
        <x:f>IF($B15="",0,SUMIFS('Wyniki zawodów'!$G$6:$G$205,'Wyniki zawodów'!$F$6:$F$205,$B15,'Wyniki zawodów'!$A$6:$A$205,I$4))</x:f>
        <x:v>3</x:v>
      </x:c>
      <x:c r="J15" s="28" t="n">
        <x:f>IF($B15="",0,SUMIFS('Wyniki zawodów'!$G$6:$G$205,'Wyniki zawodów'!$F$6:$F$205,$B15,'Wyniki zawodów'!$A$6:$A$205,J$4))</x:f>
        <x:v>0</x:v>
      </x:c>
      <x:c r="K15" s="28" t="n">
        <x:f>IF($B15="",0,SUMIFS('Wyniki zawodów'!$G$6:$G$205,'Wyniki zawodów'!$F$6:$F$205,$B15,'Wyniki zawodów'!$A$6:$A$205,K$4))</x:f>
        <x:v>0</x:v>
      </x:c>
      <x:c r="L15" s="28" t="n">
        <x:f>IF($B15="",0,SUMIFS('Wyniki zawodów'!$G$6:$G$205,'Wyniki zawodów'!$F$6:$F$205,$B15,'Wyniki zawodów'!$A$6:$A$205,L$4))</x:f>
        <x:v>0</x:v>
      </x:c>
      <x:c r="M15" s="28" t="n">
        <x:f>IF($B15="",0,SUMIFS('Wyniki zawodów'!$G$6:$G$205,'Wyniki zawodów'!$F$6:$F$205,$B15,'Wyniki zawodów'!$A$6:$A$205,M$4))</x:f>
        <x:v>0</x:v>
      </x:c>
      <x:c r="N15" s="28" t="n">
        <x:f>IF($B15="",0,SUMIFS('Wyniki zawodów'!$G$6:$G$205,'Wyniki zawodów'!$F$6:$F$205,$B15,'Wyniki zawodów'!$A$6:$A$205,N$4))</x:f>
        <x:v>0</x:v>
      </x:c>
      <x:c r="O15" s="28" t="n">
        <x:f>IF($B15="",0,SUMIFS('Wyniki zawodów'!$G$6:$G$205,'Wyniki zawodów'!$F$6:$F$205,$B15,'Wyniki zawodów'!$A$6:$A$205,O$4))</x:f>
        <x:v>0</x:v>
      </x:c>
      <x:c r="P15" s="28" t="n">
        <x:f>IF($B15="",0,SUMIFS('Wyniki zawodów'!$G$6:$G$205,'Wyniki zawodów'!$F$6:$F$205,$B15,'Wyniki zawodów'!$A$6:$A$205,P$4))</x:f>
        <x:v>0</x:v>
      </x:c>
      <x:c r="Q15" s="28" t="n">
        <x:f>IF($B15="",0,SUMIFS('Wyniki zawodów'!$G$6:$G$205,'Wyniki zawodów'!$F$6:$F$205,$B15,'Wyniki zawodów'!$A$6:$A$205,Q$4))</x:f>
        <x:v>0</x:v>
      </x:c>
      <x:c r="R15" s="28" t="n">
        <x:f>IF($B15="",0,SUMIFS('Wyniki zawodów'!$G$6:$G$205,'Wyniki zawodów'!$F$6:$F$205,$B15,'Wyniki zawodów'!$A$6:$A$205,R$4))</x:f>
        <x:v>0</x:v>
      </x:c>
      <x:c r="S15" s="28" t="n">
        <x:f>IF($B15="",0,SUMIFS('Wyniki zawodów'!$G$6:$G$205,'Wyniki zawodów'!$F$6:$F$205,$B15,'Wyniki zawodów'!$A$6:$A$205,S$4))</x:f>
        <x:v>0</x:v>
      </x:c>
      <x:c r="T15" s="28" t="n">
        <x:f>IF($B15="",0,SUMIFS('Wyniki zawodów'!$G$6:$G$205,'Wyniki zawodów'!$F$6:$F$205,$B15,'Wyniki zawodów'!$A$6:$A$205,T$4))</x:f>
        <x:v>0</x:v>
      </x:c>
      <x:c r="U15" s="28" t="n">
        <x:f>IF($B15="",0,SUMIFS('Wyniki zawodów'!$G$6:$G$205,'Wyniki zawodów'!$F$6:$F$205,$B15,'Wyniki zawodów'!$A$6:$A$205,U$4))</x:f>
        <x:v>0</x:v>
      </x:c>
      <x:c r="V15" s="28" t="n">
        <x:f>IF($B15="",0,SUMIFS('Wyniki zawodów'!$G$6:$G$205,'Wyniki zawodów'!$F$6:$F$205,$B15,'Wyniki zawodów'!$A$6:$A$205,V$4))</x:f>
        <x:v>0</x:v>
      </x:c>
      <x:c r="W15" s="28" t="n">
        <x:f>IF($B15="",0,SUMIFS('Wyniki zawodów'!$G$6:$G$205,'Wyniki zawodów'!$F$6:$F$205,$B15,'Wyniki zawodów'!$A$6:$A$205,W$4))</x:f>
        <x:v>0</x:v>
      </x:c>
      <x:c r="X15" s="17" t="n">
        <x:f>IF(B15="","",SUM(D15:W15))</x:f>
        <x:v>18</x:v>
      </x:c>
      <x:c r="Y15" s="29" t="n">
        <x:f>IF(B15="","",LARGE(D15:W15,1)+LARGE(D15:W15,2)+LARGE(D15:W15,3)+LARGE(D15:W15,4))</x:f>
        <x:v>18</x:v>
      </x:c>
      <x:c r="Z15" s="17" t="n">
        <x:f>IF(B15="","",X15-Y15)</x:f>
        <x:v>0</x:v>
      </x:c>
      <x:c r="AA15" s="17" t="n">
        <x:f>IF(B15="",0,Y15*1000+(100-ROW()))</x:f>
        <x:v>18085</x:v>
      </x:c>
    </x:row>
    <x:row r="16">
      <x:c r="A16" s="17" t="n">
        <x:f>IF(B16="","",1+COUNTIF($Y$6:$Y$55,"&gt;"&amp;Y16))</x:f>
        <x:v>10</x:v>
      </x:c>
      <x:c r="B16" s="17" t="str">
        <x:f>IF(COUNTIF('Wyniki zawodów'!$F$6:$F$205,Zawodnicy!A16)=0,"",Zawodnicy!A16)</x:f>
        <x:v>Marcin Schabowski</x:v>
      </x:c>
      <x:c r="C16" s="17" t="n">
        <x:f>IF(B16="","",COUNTIF('Wyniki zawodów'!$F$6:$F$205,B16))</x:f>
        <x:v>1</x:v>
      </x:c>
      <x:c r="D16" s="28" t="n">
        <x:f>IF($B16="",0,SUMIFS('Wyniki zawodów'!$G$6:$G$205,'Wyniki zawodów'!$F$6:$F$205,$B16,'Wyniki zawodów'!$A$6:$A$205,D$4))</x:f>
        <x:v>0</x:v>
      </x:c>
      <x:c r="E16" s="28" t="n">
        <x:f>IF($B16="",0,SUMIFS('Wyniki zawodów'!$G$6:$G$205,'Wyniki zawodów'!$F$6:$F$205,$B16,'Wyniki zawodów'!$A$6:$A$205,E$4))</x:f>
        <x:v>4</x:v>
      </x:c>
      <x:c r="F16" s="28" t="n">
        <x:f>IF($B16="",0,SUMIFS('Wyniki zawodów'!$G$6:$G$205,'Wyniki zawodów'!$F$6:$F$205,$B16,'Wyniki zawodów'!$A$6:$A$205,F$4))</x:f>
        <x:v>0</x:v>
      </x:c>
      <x:c r="G16" s="28" t="n">
        <x:f>IF($B16="",0,SUMIFS('Wyniki zawodów'!$G$6:$G$205,'Wyniki zawodów'!$F$6:$F$205,$B16,'Wyniki zawodów'!$A$6:$A$205,G$4))</x:f>
        <x:v>0</x:v>
      </x:c>
      <x:c r="H16" s="28" t="n">
        <x:f>IF($B16="",0,SUMIFS('Wyniki zawodów'!$G$6:$G$205,'Wyniki zawodów'!$F$6:$F$205,$B16,'Wyniki zawodów'!$A$6:$A$205,H$4))</x:f>
        <x:v>0</x:v>
      </x:c>
      <x:c r="I16" s="28" t="n">
        <x:f>IF($B16="",0,SUMIFS('Wyniki zawodów'!$G$6:$G$205,'Wyniki zawodów'!$F$6:$F$205,$B16,'Wyniki zawodów'!$A$6:$A$205,I$4))</x:f>
        <x:v>0</x:v>
      </x:c>
      <x:c r="J16" s="28" t="n">
        <x:f>IF($B16="",0,SUMIFS('Wyniki zawodów'!$G$6:$G$205,'Wyniki zawodów'!$F$6:$F$205,$B16,'Wyniki zawodów'!$A$6:$A$205,J$4))</x:f>
        <x:v>0</x:v>
      </x:c>
      <x:c r="K16" s="28" t="n">
        <x:f>IF($B16="",0,SUMIFS('Wyniki zawodów'!$G$6:$G$205,'Wyniki zawodów'!$F$6:$F$205,$B16,'Wyniki zawodów'!$A$6:$A$205,K$4))</x:f>
        <x:v>0</x:v>
      </x:c>
      <x:c r="L16" s="28" t="n">
        <x:f>IF($B16="",0,SUMIFS('Wyniki zawodów'!$G$6:$G$205,'Wyniki zawodów'!$F$6:$F$205,$B16,'Wyniki zawodów'!$A$6:$A$205,L$4))</x:f>
        <x:v>0</x:v>
      </x:c>
      <x:c r="M16" s="28" t="n">
        <x:f>IF($B16="",0,SUMIFS('Wyniki zawodów'!$G$6:$G$205,'Wyniki zawodów'!$F$6:$F$205,$B16,'Wyniki zawodów'!$A$6:$A$205,M$4))</x:f>
        <x:v>0</x:v>
      </x:c>
      <x:c r="N16" s="28" t="n">
        <x:f>IF($B16="",0,SUMIFS('Wyniki zawodów'!$G$6:$G$205,'Wyniki zawodów'!$F$6:$F$205,$B16,'Wyniki zawodów'!$A$6:$A$205,N$4))</x:f>
        <x:v>0</x:v>
      </x:c>
      <x:c r="O16" s="28" t="n">
        <x:f>IF($B16="",0,SUMIFS('Wyniki zawodów'!$G$6:$G$205,'Wyniki zawodów'!$F$6:$F$205,$B16,'Wyniki zawodów'!$A$6:$A$205,O$4))</x:f>
        <x:v>0</x:v>
      </x:c>
      <x:c r="P16" s="28" t="n">
        <x:f>IF($B16="",0,SUMIFS('Wyniki zawodów'!$G$6:$G$205,'Wyniki zawodów'!$F$6:$F$205,$B16,'Wyniki zawodów'!$A$6:$A$205,P$4))</x:f>
        <x:v>0</x:v>
      </x:c>
      <x:c r="Q16" s="28" t="n">
        <x:f>IF($B16="",0,SUMIFS('Wyniki zawodów'!$G$6:$G$205,'Wyniki zawodów'!$F$6:$F$205,$B16,'Wyniki zawodów'!$A$6:$A$205,Q$4))</x:f>
        <x:v>0</x:v>
      </x:c>
      <x:c r="R16" s="28" t="n">
        <x:f>IF($B16="",0,SUMIFS('Wyniki zawodów'!$G$6:$G$205,'Wyniki zawodów'!$F$6:$F$205,$B16,'Wyniki zawodów'!$A$6:$A$205,R$4))</x:f>
        <x:v>0</x:v>
      </x:c>
      <x:c r="S16" s="28" t="n">
        <x:f>IF($B16="",0,SUMIFS('Wyniki zawodów'!$G$6:$G$205,'Wyniki zawodów'!$F$6:$F$205,$B16,'Wyniki zawodów'!$A$6:$A$205,S$4))</x:f>
        <x:v>0</x:v>
      </x:c>
      <x:c r="T16" s="28" t="n">
        <x:f>IF($B16="",0,SUMIFS('Wyniki zawodów'!$G$6:$G$205,'Wyniki zawodów'!$F$6:$F$205,$B16,'Wyniki zawodów'!$A$6:$A$205,T$4))</x:f>
        <x:v>0</x:v>
      </x:c>
      <x:c r="U16" s="28" t="n">
        <x:f>IF($B16="",0,SUMIFS('Wyniki zawodów'!$G$6:$G$205,'Wyniki zawodów'!$F$6:$F$205,$B16,'Wyniki zawodów'!$A$6:$A$205,U$4))</x:f>
        <x:v>0</x:v>
      </x:c>
      <x:c r="V16" s="28" t="n">
        <x:f>IF($B16="",0,SUMIFS('Wyniki zawodów'!$G$6:$G$205,'Wyniki zawodów'!$F$6:$F$205,$B16,'Wyniki zawodów'!$A$6:$A$205,V$4))</x:f>
        <x:v>0</x:v>
      </x:c>
      <x:c r="W16" s="28" t="n">
        <x:f>IF($B16="",0,SUMIFS('Wyniki zawodów'!$G$6:$G$205,'Wyniki zawodów'!$F$6:$F$205,$B16,'Wyniki zawodów'!$A$6:$A$205,W$4))</x:f>
        <x:v>0</x:v>
      </x:c>
      <x:c r="X16" s="17" t="n">
        <x:f>IF(B16="","",SUM(D16:W16))</x:f>
        <x:v>4</x:v>
      </x:c>
      <x:c r="Y16" s="29" t="n">
        <x:f>IF(B16="","",LARGE(D16:W16,1)+LARGE(D16:W16,2)+LARGE(D16:W16,3)+LARGE(D16:W16,4))</x:f>
        <x:v>4</x:v>
      </x:c>
      <x:c r="Z16" s="17" t="n">
        <x:f>IF(B16="","",X16-Y16)</x:f>
        <x:v>0</x:v>
      </x:c>
      <x:c r="AA16" s="17" t="n">
        <x:f>IF(B16="",0,Y16*1000+(100-ROW()))</x:f>
        <x:v>4084</x:v>
      </x:c>
    </x:row>
    <x:row r="17">
      <x:c r="A17" s="17" t="n">
        <x:f>IF(B17="","",1+COUNTIF($Y$6:$Y$55,"&gt;"&amp;Y17))</x:f>
        <x:v>4</x:v>
      </x:c>
      <x:c r="B17" s="17" t="str">
        <x:f>IF(COUNTIF('Wyniki zawodów'!$F$6:$F$205,Zawodnicy!A17)=0,"",Zawodnicy!A17)</x:f>
        <x:v>Marcin Stankiewicz</x:v>
      </x:c>
      <x:c r="C17" s="17" t="n">
        <x:f>IF(B17="","",COUNTIF('Wyniki zawodów'!$F$6:$F$205,B17))</x:f>
        <x:v>4</x:v>
      </x:c>
      <x:c r="D17" s="28" t="n">
        <x:f>IF($B17="",0,SUMIFS('Wyniki zawodów'!$G$6:$G$205,'Wyniki zawodów'!$F$6:$F$205,$B17,'Wyniki zawodów'!$A$6:$A$205,D$4))</x:f>
        <x:v>4</x:v>
      </x:c>
      <x:c r="E17" s="28" t="n">
        <x:f>IF($B17="",0,SUMIFS('Wyniki zawodów'!$G$6:$G$205,'Wyniki zawodów'!$F$6:$F$205,$B17,'Wyniki zawodów'!$A$6:$A$205,E$4))</x:f>
        <x:v>0</x:v>
      </x:c>
      <x:c r="F17" s="28" t="n">
        <x:f>IF($B17="",0,SUMIFS('Wyniki zawodów'!$G$6:$G$205,'Wyniki zawodów'!$F$6:$F$205,$B17,'Wyniki zawodów'!$A$6:$A$205,F$4))</x:f>
        <x:v>0</x:v>
      </x:c>
      <x:c r="G17" s="28" t="n">
        <x:f>IF($B17="",0,SUMIFS('Wyniki zawodów'!$G$6:$G$205,'Wyniki zawodów'!$F$6:$F$205,$B17,'Wyniki zawodów'!$A$6:$A$205,G$4))</x:f>
        <x:v>3</x:v>
      </x:c>
      <x:c r="H17" s="28" t="n">
        <x:f>IF($B17="",0,SUMIFS('Wyniki zawodów'!$G$6:$G$205,'Wyniki zawodów'!$F$6:$F$205,$B17,'Wyniki zawodów'!$A$6:$A$205,H$4))</x:f>
        <x:v>0</x:v>
      </x:c>
      <x:c r="I17" s="28" t="n">
        <x:f>IF($B17="",0,SUMIFS('Wyniki zawodów'!$G$6:$G$205,'Wyniki zawodów'!$F$6:$F$205,$B17,'Wyniki zawodów'!$A$6:$A$205,I$4))</x:f>
        <x:v>0</x:v>
      </x:c>
      <x:c r="J17" s="28" t="n">
        <x:f>IF($B17="",0,SUMIFS('Wyniki zawodów'!$G$6:$G$205,'Wyniki zawodów'!$F$6:$F$205,$B17,'Wyniki zawodów'!$A$6:$A$205,J$4))</x:f>
        <x:v>4</x:v>
      </x:c>
      <x:c r="K17" s="28" t="n">
        <x:f>IF($B17="",0,SUMIFS('Wyniki zawodów'!$G$6:$G$205,'Wyniki zawodów'!$F$6:$F$205,$B17,'Wyniki zawodów'!$A$6:$A$205,K$4))</x:f>
        <x:v>4</x:v>
      </x:c>
      <x:c r="L17" s="28" t="n">
        <x:f>IF($B17="",0,SUMIFS('Wyniki zawodów'!$G$6:$G$205,'Wyniki zawodów'!$F$6:$F$205,$B17,'Wyniki zawodów'!$A$6:$A$205,L$4))</x:f>
        <x:v>0</x:v>
      </x:c>
      <x:c r="M17" s="28" t="n">
        <x:f>IF($B17="",0,SUMIFS('Wyniki zawodów'!$G$6:$G$205,'Wyniki zawodów'!$F$6:$F$205,$B17,'Wyniki zawodów'!$A$6:$A$205,M$4))</x:f>
        <x:v>0</x:v>
      </x:c>
      <x:c r="N17" s="28" t="n">
        <x:f>IF($B17="",0,SUMIFS('Wyniki zawodów'!$G$6:$G$205,'Wyniki zawodów'!$F$6:$F$205,$B17,'Wyniki zawodów'!$A$6:$A$205,N$4))</x:f>
        <x:v>0</x:v>
      </x:c>
      <x:c r="O17" s="28" t="n">
        <x:f>IF($B17="",0,SUMIFS('Wyniki zawodów'!$G$6:$G$205,'Wyniki zawodów'!$F$6:$F$205,$B17,'Wyniki zawodów'!$A$6:$A$205,O$4))</x:f>
        <x:v>0</x:v>
      </x:c>
      <x:c r="P17" s="28" t="n">
        <x:f>IF($B17="",0,SUMIFS('Wyniki zawodów'!$G$6:$G$205,'Wyniki zawodów'!$F$6:$F$205,$B17,'Wyniki zawodów'!$A$6:$A$205,P$4))</x:f>
        <x:v>0</x:v>
      </x:c>
      <x:c r="Q17" s="28" t="n">
        <x:f>IF($B17="",0,SUMIFS('Wyniki zawodów'!$G$6:$G$205,'Wyniki zawodów'!$F$6:$F$205,$B17,'Wyniki zawodów'!$A$6:$A$205,Q$4))</x:f>
        <x:v>0</x:v>
      </x:c>
      <x:c r="R17" s="28" t="n">
        <x:f>IF($B17="",0,SUMIFS('Wyniki zawodów'!$G$6:$G$205,'Wyniki zawodów'!$F$6:$F$205,$B17,'Wyniki zawodów'!$A$6:$A$205,R$4))</x:f>
        <x:v>0</x:v>
      </x:c>
      <x:c r="S17" s="28" t="n">
        <x:f>IF($B17="",0,SUMIFS('Wyniki zawodów'!$G$6:$G$205,'Wyniki zawodów'!$F$6:$F$205,$B17,'Wyniki zawodów'!$A$6:$A$205,S$4))</x:f>
        <x:v>0</x:v>
      </x:c>
      <x:c r="T17" s="28" t="n">
        <x:f>IF($B17="",0,SUMIFS('Wyniki zawodów'!$G$6:$G$205,'Wyniki zawodów'!$F$6:$F$205,$B17,'Wyniki zawodów'!$A$6:$A$205,T$4))</x:f>
        <x:v>0</x:v>
      </x:c>
      <x:c r="U17" s="28" t="n">
        <x:f>IF($B17="",0,SUMIFS('Wyniki zawodów'!$G$6:$G$205,'Wyniki zawodów'!$F$6:$F$205,$B17,'Wyniki zawodów'!$A$6:$A$205,U$4))</x:f>
        <x:v>0</x:v>
      </x:c>
      <x:c r="V17" s="28" t="n">
        <x:f>IF($B17="",0,SUMIFS('Wyniki zawodów'!$G$6:$G$205,'Wyniki zawodów'!$F$6:$F$205,$B17,'Wyniki zawodów'!$A$6:$A$205,V$4))</x:f>
        <x:v>0</x:v>
      </x:c>
      <x:c r="W17" s="28" t="n">
        <x:f>IF($B17="",0,SUMIFS('Wyniki zawodów'!$G$6:$G$205,'Wyniki zawodów'!$F$6:$F$205,$B17,'Wyniki zawodów'!$A$6:$A$205,W$4))</x:f>
        <x:v>0</x:v>
      </x:c>
      <x:c r="X17" s="17" t="n">
        <x:f>IF(B17="","",SUM(D17:W17))</x:f>
        <x:v>15</x:v>
      </x:c>
      <x:c r="Y17" s="29" t="n">
        <x:f>IF(B17="","",LARGE(D17:W17,1)+LARGE(D17:W17,2)+LARGE(D17:W17,3)+LARGE(D17:W17,4))</x:f>
        <x:v>15</x:v>
      </x:c>
      <x:c r="Z17" s="17" t="n">
        <x:f>IF(B17="","",X17-Y17)</x:f>
        <x:v>0</x:v>
      </x:c>
      <x:c r="AA17" s="17" t="n">
        <x:f>IF(B17="",0,Y17*1000+(100-ROW()))</x:f>
        <x:v>15083</x:v>
      </x:c>
    </x:row>
    <x:row r="18">
      <x:c r="A18" s="17" t="n">
        <x:f>IF(B18="","",1+COUNTIF($Y$6:$Y$55,"&gt;"&amp;Y18))</x:f>
        <x:v>10</x:v>
      </x:c>
      <x:c r="B18" s="17" t="str">
        <x:f>IF(COUNTIF('Wyniki zawodów'!$F$6:$F$205,Zawodnicy!A18)=0,"",Zawodnicy!A18)</x:f>
        <x:v>Mariusz Pachut</x:v>
      </x:c>
      <x:c r="C18" s="17" t="n">
        <x:f>IF(B18="","",COUNTIF('Wyniki zawodów'!$F$6:$F$205,B18))</x:f>
        <x:v>4</x:v>
      </x:c>
      <x:c r="D18" s="28" t="n">
        <x:f>IF($B18="",0,SUMIFS('Wyniki zawodów'!$G$6:$G$205,'Wyniki zawodów'!$F$6:$F$205,$B18,'Wyniki zawodów'!$A$6:$A$205,D$4))</x:f>
        <x:v>0</x:v>
      </x:c>
      <x:c r="E18" s="28" t="n">
        <x:f>IF($B18="",0,SUMIFS('Wyniki zawodów'!$G$6:$G$205,'Wyniki zawodów'!$F$6:$F$205,$B18,'Wyniki zawodów'!$A$6:$A$205,E$4))</x:f>
        <x:v>1</x:v>
      </x:c>
      <x:c r="F18" s="28" t="n">
        <x:f>IF($B18="",0,SUMIFS('Wyniki zawodów'!$G$6:$G$205,'Wyniki zawodów'!$F$6:$F$205,$B18,'Wyniki zawodów'!$A$6:$A$205,F$4))</x:f>
        <x:v>0</x:v>
      </x:c>
      <x:c r="G18" s="28" t="n">
        <x:f>IF($B18="",0,SUMIFS('Wyniki zawodów'!$G$6:$G$205,'Wyniki zawodów'!$F$6:$F$205,$B18,'Wyniki zawodów'!$A$6:$A$205,G$4))</x:f>
        <x:v>1</x:v>
      </x:c>
      <x:c r="H18" s="28" t="n">
        <x:f>IF($B18="",0,SUMIFS('Wyniki zawodów'!$G$6:$G$205,'Wyniki zawodów'!$F$6:$F$205,$B18,'Wyniki zawodów'!$A$6:$A$205,H$4))</x:f>
        <x:v>0</x:v>
      </x:c>
      <x:c r="I18" s="28" t="n">
        <x:f>IF($B18="",0,SUMIFS('Wyniki zawodów'!$G$6:$G$205,'Wyniki zawodów'!$F$6:$F$205,$B18,'Wyniki zawodów'!$A$6:$A$205,I$4))</x:f>
        <x:v>0</x:v>
      </x:c>
      <x:c r="J18" s="28" t="n">
        <x:f>IF($B18="",0,SUMIFS('Wyniki zawodów'!$G$6:$G$205,'Wyniki zawodów'!$F$6:$F$205,$B18,'Wyniki zawodów'!$A$6:$A$205,J$4))</x:f>
        <x:v>0</x:v>
      </x:c>
      <x:c r="K18" s="28" t="n">
        <x:f>IF($B18="",0,SUMIFS('Wyniki zawodów'!$G$6:$G$205,'Wyniki zawodów'!$F$6:$F$205,$B18,'Wyniki zawodów'!$A$6:$A$205,K$4))</x:f>
        <x:v>0</x:v>
      </x:c>
      <x:c r="L18" s="28" t="n">
        <x:f>IF($B18="",0,SUMIFS('Wyniki zawodów'!$G$6:$G$205,'Wyniki zawodów'!$F$6:$F$205,$B18,'Wyniki zawodów'!$A$6:$A$205,L$4))</x:f>
        <x:v>1</x:v>
      </x:c>
      <x:c r="M18" s="28" t="n">
        <x:f>IF($B18="",0,SUMIFS('Wyniki zawodów'!$G$6:$G$205,'Wyniki zawodów'!$F$6:$F$205,$B18,'Wyniki zawodów'!$A$6:$A$205,M$4))</x:f>
        <x:v>1</x:v>
      </x:c>
      <x:c r="N18" s="28" t="n">
        <x:f>IF($B18="",0,SUMIFS('Wyniki zawodów'!$G$6:$G$205,'Wyniki zawodów'!$F$6:$F$205,$B18,'Wyniki zawodów'!$A$6:$A$205,N$4))</x:f>
        <x:v>0</x:v>
      </x:c>
      <x:c r="O18" s="28" t="n">
        <x:f>IF($B18="",0,SUMIFS('Wyniki zawodów'!$G$6:$G$205,'Wyniki zawodów'!$F$6:$F$205,$B18,'Wyniki zawodów'!$A$6:$A$205,O$4))</x:f>
        <x:v>0</x:v>
      </x:c>
      <x:c r="P18" s="28" t="n">
        <x:f>IF($B18="",0,SUMIFS('Wyniki zawodów'!$G$6:$G$205,'Wyniki zawodów'!$F$6:$F$205,$B18,'Wyniki zawodów'!$A$6:$A$205,P$4))</x:f>
        <x:v>0</x:v>
      </x:c>
      <x:c r="Q18" s="28" t="n">
        <x:f>IF($B18="",0,SUMIFS('Wyniki zawodów'!$G$6:$G$205,'Wyniki zawodów'!$F$6:$F$205,$B18,'Wyniki zawodów'!$A$6:$A$205,Q$4))</x:f>
        <x:v>0</x:v>
      </x:c>
      <x:c r="R18" s="28" t="n">
        <x:f>IF($B18="",0,SUMIFS('Wyniki zawodów'!$G$6:$G$205,'Wyniki zawodów'!$F$6:$F$205,$B18,'Wyniki zawodów'!$A$6:$A$205,R$4))</x:f>
        <x:v>0</x:v>
      </x:c>
      <x:c r="S18" s="28" t="n">
        <x:f>IF($B18="",0,SUMIFS('Wyniki zawodów'!$G$6:$G$205,'Wyniki zawodów'!$F$6:$F$205,$B18,'Wyniki zawodów'!$A$6:$A$205,S$4))</x:f>
        <x:v>0</x:v>
      </x:c>
      <x:c r="T18" s="28" t="n">
        <x:f>IF($B18="",0,SUMIFS('Wyniki zawodów'!$G$6:$G$205,'Wyniki zawodów'!$F$6:$F$205,$B18,'Wyniki zawodów'!$A$6:$A$205,T$4))</x:f>
        <x:v>0</x:v>
      </x:c>
      <x:c r="U18" s="28" t="n">
        <x:f>IF($B18="",0,SUMIFS('Wyniki zawodów'!$G$6:$G$205,'Wyniki zawodów'!$F$6:$F$205,$B18,'Wyniki zawodów'!$A$6:$A$205,U$4))</x:f>
        <x:v>0</x:v>
      </x:c>
      <x:c r="V18" s="28" t="n">
        <x:f>IF($B18="",0,SUMIFS('Wyniki zawodów'!$G$6:$G$205,'Wyniki zawodów'!$F$6:$F$205,$B18,'Wyniki zawodów'!$A$6:$A$205,V$4))</x:f>
        <x:v>0</x:v>
      </x:c>
      <x:c r="W18" s="28" t="n">
        <x:f>IF($B18="",0,SUMIFS('Wyniki zawodów'!$G$6:$G$205,'Wyniki zawodów'!$F$6:$F$205,$B18,'Wyniki zawodów'!$A$6:$A$205,W$4))</x:f>
        <x:v>0</x:v>
      </x:c>
      <x:c r="X18" s="17" t="n">
        <x:f>IF(B18="","",SUM(D18:W18))</x:f>
        <x:v>4</x:v>
      </x:c>
      <x:c r="Y18" s="29" t="n">
        <x:f>IF(B18="","",LARGE(D18:W18,1)+LARGE(D18:W18,2)+LARGE(D18:W18,3)+LARGE(D18:W18,4))</x:f>
        <x:v>4</x:v>
      </x:c>
      <x:c r="Z18" s="17" t="n">
        <x:f>IF(B18="","",X18-Y18)</x:f>
        <x:v>0</x:v>
      </x:c>
      <x:c r="AA18" s="17" t="n">
        <x:f>IF(B18="",0,Y18*1000+(100-ROW()))</x:f>
        <x:v>4082</x:v>
      </x:c>
    </x:row>
    <x:row r="19">
      <x:c r="A19" s="17" t="n">
        <x:f>IF(B19="","",1+COUNTIF($Y$6:$Y$55,"&gt;"&amp;Y19))</x:f>
        <x:v>15</x:v>
      </x:c>
      <x:c r="B19" s="17" t="str">
        <x:f>IF(COUNTIF('Wyniki zawodów'!$F$6:$F$205,Zawodnicy!A19)=0,"",Zawodnicy!A19)</x:f>
        <x:v>Michał Maruszewski</x:v>
      </x:c>
      <x:c r="C19" s="17" t="n">
        <x:f>IF(B19="","",COUNTIF('Wyniki zawodów'!$F$6:$F$205,B19))</x:f>
        <x:v>1</x:v>
      </x:c>
      <x:c r="D19" s="28" t="n">
        <x:f>IF($B19="",0,SUMIFS('Wyniki zawodów'!$G$6:$G$205,'Wyniki zawodów'!$F$6:$F$205,$B19,'Wyniki zawodów'!$A$6:$A$205,D$4))</x:f>
        <x:v>0</x:v>
      </x:c>
      <x:c r="E19" s="28" t="n">
        <x:f>IF($B19="",0,SUMIFS('Wyniki zawodów'!$G$6:$G$205,'Wyniki zawodów'!$F$6:$F$205,$B19,'Wyniki zawodów'!$A$6:$A$205,E$4))</x:f>
        <x:v>0</x:v>
      </x:c>
      <x:c r="F19" s="28" t="n">
        <x:f>IF($B19="",0,SUMIFS('Wyniki zawodów'!$G$6:$G$205,'Wyniki zawodów'!$F$6:$F$205,$B19,'Wyniki zawodów'!$A$6:$A$205,F$4))</x:f>
        <x:v>0</x:v>
      </x:c>
      <x:c r="G19" s="28" t="n">
        <x:f>IF($B19="",0,SUMIFS('Wyniki zawodów'!$G$6:$G$205,'Wyniki zawodów'!$F$6:$F$205,$B19,'Wyniki zawodów'!$A$6:$A$205,G$4))</x:f>
        <x:v>0</x:v>
      </x:c>
      <x:c r="H19" s="28" t="n">
        <x:f>IF($B19="",0,SUMIFS('Wyniki zawodów'!$G$6:$G$205,'Wyniki zawodów'!$F$6:$F$205,$B19,'Wyniki zawodów'!$A$6:$A$205,H$4))</x:f>
        <x:v>0</x:v>
      </x:c>
      <x:c r="I19" s="28" t="n">
        <x:f>IF($B19="",0,SUMIFS('Wyniki zawodów'!$G$6:$G$205,'Wyniki zawodów'!$F$6:$F$205,$B19,'Wyniki zawodów'!$A$6:$A$205,I$4))</x:f>
        <x:v>0</x:v>
      </x:c>
      <x:c r="J19" s="28" t="n">
        <x:f>IF($B19="",0,SUMIFS('Wyniki zawodów'!$G$6:$G$205,'Wyniki zawodów'!$F$6:$F$205,$B19,'Wyniki zawodów'!$A$6:$A$205,J$4))</x:f>
        <x:v>1</x:v>
      </x:c>
      <x:c r="K19" s="28" t="n">
        <x:f>IF($B19="",0,SUMIFS('Wyniki zawodów'!$G$6:$G$205,'Wyniki zawodów'!$F$6:$F$205,$B19,'Wyniki zawodów'!$A$6:$A$205,K$4))</x:f>
        <x:v>0</x:v>
      </x:c>
      <x:c r="L19" s="28" t="n">
        <x:f>IF($B19="",0,SUMIFS('Wyniki zawodów'!$G$6:$G$205,'Wyniki zawodów'!$F$6:$F$205,$B19,'Wyniki zawodów'!$A$6:$A$205,L$4))</x:f>
        <x:v>0</x:v>
      </x:c>
      <x:c r="M19" s="28" t="n">
        <x:f>IF($B19="",0,SUMIFS('Wyniki zawodów'!$G$6:$G$205,'Wyniki zawodów'!$F$6:$F$205,$B19,'Wyniki zawodów'!$A$6:$A$205,M$4))</x:f>
        <x:v>0</x:v>
      </x:c>
      <x:c r="N19" s="28" t="n">
        <x:f>IF($B19="",0,SUMIFS('Wyniki zawodów'!$G$6:$G$205,'Wyniki zawodów'!$F$6:$F$205,$B19,'Wyniki zawodów'!$A$6:$A$205,N$4))</x:f>
        <x:v>0</x:v>
      </x:c>
      <x:c r="O19" s="28" t="n">
        <x:f>IF($B19="",0,SUMIFS('Wyniki zawodów'!$G$6:$G$205,'Wyniki zawodów'!$F$6:$F$205,$B19,'Wyniki zawodów'!$A$6:$A$205,O$4))</x:f>
        <x:v>0</x:v>
      </x:c>
      <x:c r="P19" s="28" t="n">
        <x:f>IF($B19="",0,SUMIFS('Wyniki zawodów'!$G$6:$G$205,'Wyniki zawodów'!$F$6:$F$205,$B19,'Wyniki zawodów'!$A$6:$A$205,P$4))</x:f>
        <x:v>0</x:v>
      </x:c>
      <x:c r="Q19" s="28" t="n">
        <x:f>IF($B19="",0,SUMIFS('Wyniki zawodów'!$G$6:$G$205,'Wyniki zawodów'!$F$6:$F$205,$B19,'Wyniki zawodów'!$A$6:$A$205,Q$4))</x:f>
        <x:v>0</x:v>
      </x:c>
      <x:c r="R19" s="28" t="n">
        <x:f>IF($B19="",0,SUMIFS('Wyniki zawodów'!$G$6:$G$205,'Wyniki zawodów'!$F$6:$F$205,$B19,'Wyniki zawodów'!$A$6:$A$205,R$4))</x:f>
        <x:v>0</x:v>
      </x:c>
      <x:c r="S19" s="28" t="n">
        <x:f>IF($B19="",0,SUMIFS('Wyniki zawodów'!$G$6:$G$205,'Wyniki zawodów'!$F$6:$F$205,$B19,'Wyniki zawodów'!$A$6:$A$205,S$4))</x:f>
        <x:v>0</x:v>
      </x:c>
      <x:c r="T19" s="28" t="n">
        <x:f>IF($B19="",0,SUMIFS('Wyniki zawodów'!$G$6:$G$205,'Wyniki zawodów'!$F$6:$F$205,$B19,'Wyniki zawodów'!$A$6:$A$205,T$4))</x:f>
        <x:v>0</x:v>
      </x:c>
      <x:c r="U19" s="28" t="n">
        <x:f>IF($B19="",0,SUMIFS('Wyniki zawodów'!$G$6:$G$205,'Wyniki zawodów'!$F$6:$F$205,$B19,'Wyniki zawodów'!$A$6:$A$205,U$4))</x:f>
        <x:v>0</x:v>
      </x:c>
      <x:c r="V19" s="28" t="n">
        <x:f>IF($B19="",0,SUMIFS('Wyniki zawodów'!$G$6:$G$205,'Wyniki zawodów'!$F$6:$F$205,$B19,'Wyniki zawodów'!$A$6:$A$205,V$4))</x:f>
        <x:v>0</x:v>
      </x:c>
      <x:c r="W19" s="28" t="n">
        <x:f>IF($B19="",0,SUMIFS('Wyniki zawodów'!$G$6:$G$205,'Wyniki zawodów'!$F$6:$F$205,$B19,'Wyniki zawodów'!$A$6:$A$205,W$4))</x:f>
        <x:v>0</x:v>
      </x:c>
      <x:c r="X19" s="17" t="n">
        <x:f>IF(B19="","",SUM(D19:W19))</x:f>
        <x:v>1</x:v>
      </x:c>
      <x:c r="Y19" s="29" t="n">
        <x:f>IF(B19="","",LARGE(D19:W19,1)+LARGE(D19:W19,2)+LARGE(D19:W19,3)+LARGE(D19:W19,4))</x:f>
        <x:v>1</x:v>
      </x:c>
      <x:c r="Z19" s="17" t="n">
        <x:f>IF(B19="","",X19-Y19)</x:f>
        <x:v>0</x:v>
      </x:c>
      <x:c r="AA19" s="17" t="n">
        <x:f>IF(B19="",0,Y19*1000+(100-ROW()))</x:f>
        <x:v>1081</x:v>
      </x:c>
    </x:row>
    <x:row r="20">
      <x:c r="A20" s="17" t="str">
        <x:f>IF(B20="","",1+COUNTIF($Y$6:$Y$55,"&gt;"&amp;Y20))</x:f>
      </x:c>
      <x:c r="B20" s="17" t="str">
        <x:f>IF(COUNTIF('Wyniki zawodów'!$F$6:$F$205,Zawodnicy!A20)=0,"",Zawodnicy!A20)</x:f>
      </x:c>
      <x:c r="C20" s="17" t="str">
        <x:f>IF(B20="","",COUNTIF('Wyniki zawodów'!$F$6:$F$205,B20))</x:f>
      </x:c>
      <x:c r="D20" s="28" t="n">
        <x:f>IF($B20="",0,SUMIFS('Wyniki zawodów'!$G$6:$G$205,'Wyniki zawodów'!$F$6:$F$205,$B20,'Wyniki zawodów'!$A$6:$A$205,D$4))</x:f>
        <x:v>0</x:v>
      </x:c>
      <x:c r="E20" s="28" t="n">
        <x:f>IF($B20="",0,SUMIFS('Wyniki zawodów'!$G$6:$G$205,'Wyniki zawodów'!$F$6:$F$205,$B20,'Wyniki zawodów'!$A$6:$A$205,E$4))</x:f>
        <x:v>0</x:v>
      </x:c>
      <x:c r="F20" s="28" t="n">
        <x:f>IF($B20="",0,SUMIFS('Wyniki zawodów'!$G$6:$G$205,'Wyniki zawodów'!$F$6:$F$205,$B20,'Wyniki zawodów'!$A$6:$A$205,F$4))</x:f>
        <x:v>0</x:v>
      </x:c>
      <x:c r="G20" s="28" t="n">
        <x:f>IF($B20="",0,SUMIFS('Wyniki zawodów'!$G$6:$G$205,'Wyniki zawodów'!$F$6:$F$205,$B20,'Wyniki zawodów'!$A$6:$A$205,G$4))</x:f>
        <x:v>0</x:v>
      </x:c>
      <x:c r="H20" s="28" t="n">
        <x:f>IF($B20="",0,SUMIFS('Wyniki zawodów'!$G$6:$G$205,'Wyniki zawodów'!$F$6:$F$205,$B20,'Wyniki zawodów'!$A$6:$A$205,H$4))</x:f>
        <x:v>0</x:v>
      </x:c>
      <x:c r="I20" s="28" t="n">
        <x:f>IF($B20="",0,SUMIFS('Wyniki zawodów'!$G$6:$G$205,'Wyniki zawodów'!$F$6:$F$205,$B20,'Wyniki zawodów'!$A$6:$A$205,I$4))</x:f>
        <x:v>0</x:v>
      </x:c>
      <x:c r="J20" s="28" t="n">
        <x:f>IF($B20="",0,SUMIFS('Wyniki zawodów'!$G$6:$G$205,'Wyniki zawodów'!$F$6:$F$205,$B20,'Wyniki zawodów'!$A$6:$A$205,J$4))</x:f>
        <x:v>0</x:v>
      </x:c>
      <x:c r="K20" s="28" t="n">
        <x:f>IF($B20="",0,SUMIFS('Wyniki zawodów'!$G$6:$G$205,'Wyniki zawodów'!$F$6:$F$205,$B20,'Wyniki zawodów'!$A$6:$A$205,K$4))</x:f>
        <x:v>0</x:v>
      </x:c>
      <x:c r="L20" s="28" t="n">
        <x:f>IF($B20="",0,SUMIFS('Wyniki zawodów'!$G$6:$G$205,'Wyniki zawodów'!$F$6:$F$205,$B20,'Wyniki zawodów'!$A$6:$A$205,L$4))</x:f>
        <x:v>0</x:v>
      </x:c>
      <x:c r="M20" s="28" t="n">
        <x:f>IF($B20="",0,SUMIFS('Wyniki zawodów'!$G$6:$G$205,'Wyniki zawodów'!$F$6:$F$205,$B20,'Wyniki zawodów'!$A$6:$A$205,M$4))</x:f>
        <x:v>0</x:v>
      </x:c>
      <x:c r="N20" s="28" t="n">
        <x:f>IF($B20="",0,SUMIFS('Wyniki zawodów'!$G$6:$G$205,'Wyniki zawodów'!$F$6:$F$205,$B20,'Wyniki zawodów'!$A$6:$A$205,N$4))</x:f>
        <x:v>0</x:v>
      </x:c>
      <x:c r="O20" s="28" t="n">
        <x:f>IF($B20="",0,SUMIFS('Wyniki zawodów'!$G$6:$G$205,'Wyniki zawodów'!$F$6:$F$205,$B20,'Wyniki zawodów'!$A$6:$A$205,O$4))</x:f>
        <x:v>0</x:v>
      </x:c>
      <x:c r="P20" s="28" t="n">
        <x:f>IF($B20="",0,SUMIFS('Wyniki zawodów'!$G$6:$G$205,'Wyniki zawodów'!$F$6:$F$205,$B20,'Wyniki zawodów'!$A$6:$A$205,P$4))</x:f>
        <x:v>0</x:v>
      </x:c>
      <x:c r="Q20" s="28" t="n">
        <x:f>IF($B20="",0,SUMIFS('Wyniki zawodów'!$G$6:$G$205,'Wyniki zawodów'!$F$6:$F$205,$B20,'Wyniki zawodów'!$A$6:$A$205,Q$4))</x:f>
        <x:v>0</x:v>
      </x:c>
      <x:c r="R20" s="28" t="n">
        <x:f>IF($B20="",0,SUMIFS('Wyniki zawodów'!$G$6:$G$205,'Wyniki zawodów'!$F$6:$F$205,$B20,'Wyniki zawodów'!$A$6:$A$205,R$4))</x:f>
        <x:v>0</x:v>
      </x:c>
      <x:c r="S20" s="28" t="n">
        <x:f>IF($B20="",0,SUMIFS('Wyniki zawodów'!$G$6:$G$205,'Wyniki zawodów'!$F$6:$F$205,$B20,'Wyniki zawodów'!$A$6:$A$205,S$4))</x:f>
        <x:v>0</x:v>
      </x:c>
      <x:c r="T20" s="28" t="n">
        <x:f>IF($B20="",0,SUMIFS('Wyniki zawodów'!$G$6:$G$205,'Wyniki zawodów'!$F$6:$F$205,$B20,'Wyniki zawodów'!$A$6:$A$205,T$4))</x:f>
        <x:v>0</x:v>
      </x:c>
      <x:c r="U20" s="28" t="n">
        <x:f>IF($B20="",0,SUMIFS('Wyniki zawodów'!$G$6:$G$205,'Wyniki zawodów'!$F$6:$F$205,$B20,'Wyniki zawodów'!$A$6:$A$205,U$4))</x:f>
        <x:v>0</x:v>
      </x:c>
      <x:c r="V20" s="28" t="n">
        <x:f>IF($B20="",0,SUMIFS('Wyniki zawodów'!$G$6:$G$205,'Wyniki zawodów'!$F$6:$F$205,$B20,'Wyniki zawodów'!$A$6:$A$205,V$4))</x:f>
        <x:v>0</x:v>
      </x:c>
      <x:c r="W20" s="28" t="n">
        <x:f>IF($B20="",0,SUMIFS('Wyniki zawodów'!$G$6:$G$205,'Wyniki zawodów'!$F$6:$F$205,$B20,'Wyniki zawodów'!$A$6:$A$205,W$4))</x:f>
        <x:v>0</x:v>
      </x:c>
      <x:c r="X20" s="17" t="str">
        <x:f>IF(B20="","",SUM(D20:W20))</x:f>
      </x:c>
      <x:c r="Y20" s="29" t="str">
        <x:f>IF(B20="","",LARGE(D20:W20,1)+LARGE(D20:W20,2)+LARGE(D20:W20,3)+LARGE(D20:W20,4))</x:f>
      </x:c>
      <x:c r="Z20" s="17" t="str">
        <x:f>IF(B20="","",X20-Y20)</x:f>
      </x:c>
      <x:c r="AA20" s="17" t="n">
        <x:f>IF(B20="",0,Y20*1000+(100-ROW()))</x:f>
        <x:v>0</x:v>
      </x:c>
    </x:row>
    <x:row r="21">
      <x:c r="A21" s="17" t="n">
        <x:f>IF(B21="","",1+COUNTIF($Y$6:$Y$55,"&gt;"&amp;Y21))</x:f>
        <x:v>7</x:v>
      </x:c>
      <x:c r="B21" s="17" t="str">
        <x:f>IF(COUNTIF('Wyniki zawodów'!$F$6:$F$205,Zawodnicy!A21)=0,"",Zawodnicy!A21)</x:f>
        <x:v>Paweł Kostrzewski</x:v>
      </x:c>
      <x:c r="C21" s="17" t="n">
        <x:f>IF(B21="","",COUNTIF('Wyniki zawodów'!$F$6:$F$205,B21))</x:f>
        <x:v>5</x:v>
      </x:c>
      <x:c r="D21" s="28" t="n">
        <x:f>IF($B21="",0,SUMIFS('Wyniki zawodów'!$G$6:$G$205,'Wyniki zawodów'!$F$6:$F$205,$B21,'Wyniki zawodów'!$A$6:$A$205,D$4))</x:f>
        <x:v>0</x:v>
      </x:c>
      <x:c r="E21" s="28" t="n">
        <x:f>IF($B21="",0,SUMIFS('Wyniki zawodów'!$G$6:$G$205,'Wyniki zawodów'!$F$6:$F$205,$B21,'Wyniki zawodów'!$A$6:$A$205,E$4))</x:f>
        <x:v>2</x:v>
      </x:c>
      <x:c r="F21" s="28" t="n">
        <x:f>IF($B21="",0,SUMIFS('Wyniki zawodów'!$G$6:$G$205,'Wyniki zawodów'!$F$6:$F$205,$B21,'Wyniki zawodów'!$A$6:$A$205,F$4))</x:f>
        <x:v>0</x:v>
      </x:c>
      <x:c r="G21" s="28" t="n">
        <x:f>IF($B21="",0,SUMIFS('Wyniki zawodów'!$G$6:$G$205,'Wyniki zawodów'!$F$6:$F$205,$B21,'Wyniki zawodów'!$A$6:$A$205,G$4))</x:f>
        <x:v>0</x:v>
      </x:c>
      <x:c r="H21" s="28" t="n">
        <x:f>IF($B21="",0,SUMIFS('Wyniki zawodów'!$G$6:$G$205,'Wyniki zawodów'!$F$6:$F$205,$B21,'Wyniki zawodów'!$A$6:$A$205,H$4))</x:f>
        <x:v>2</x:v>
      </x:c>
      <x:c r="I21" s="28" t="n">
        <x:f>IF($B21="",0,SUMIFS('Wyniki zawodów'!$G$6:$G$205,'Wyniki zawodów'!$F$6:$F$205,$B21,'Wyniki zawodów'!$A$6:$A$205,I$4))</x:f>
        <x:v>0</x:v>
      </x:c>
      <x:c r="J21" s="28" t="n">
        <x:f>IF($B21="",0,SUMIFS('Wyniki zawodów'!$G$6:$G$205,'Wyniki zawodów'!$F$6:$F$205,$B21,'Wyniki zawodów'!$A$6:$A$205,J$4))</x:f>
        <x:v>0</x:v>
      </x:c>
      <x:c r="K21" s="28" t="n">
        <x:f>IF($B21="",0,SUMIFS('Wyniki zawodów'!$G$6:$G$205,'Wyniki zawodów'!$F$6:$F$205,$B21,'Wyniki zawodów'!$A$6:$A$205,K$4))</x:f>
        <x:v>3</x:v>
      </x:c>
      <x:c r="L21" s="28" t="n">
        <x:f>IF($B21="",0,SUMIFS('Wyniki zawodów'!$G$6:$G$205,'Wyniki zawodów'!$F$6:$F$205,$B21,'Wyniki zawodów'!$A$6:$A$205,L$4))</x:f>
        <x:v>3</x:v>
      </x:c>
      <x:c r="M21" s="28" t="n">
        <x:f>IF($B21="",0,SUMIFS('Wyniki zawodów'!$G$6:$G$205,'Wyniki zawodów'!$F$6:$F$205,$B21,'Wyniki zawodów'!$A$6:$A$205,M$4))</x:f>
        <x:v>4</x:v>
      </x:c>
      <x:c r="N21" s="28" t="n">
        <x:f>IF($B21="",0,SUMIFS('Wyniki zawodów'!$G$6:$G$205,'Wyniki zawodów'!$F$6:$F$205,$B21,'Wyniki zawodów'!$A$6:$A$205,N$4))</x:f>
        <x:v>0</x:v>
      </x:c>
      <x:c r="O21" s="28" t="n">
        <x:f>IF($B21="",0,SUMIFS('Wyniki zawodów'!$G$6:$G$205,'Wyniki zawodów'!$F$6:$F$205,$B21,'Wyniki zawodów'!$A$6:$A$205,O$4))</x:f>
        <x:v>0</x:v>
      </x:c>
      <x:c r="P21" s="28" t="n">
        <x:f>IF($B21="",0,SUMIFS('Wyniki zawodów'!$G$6:$G$205,'Wyniki zawodów'!$F$6:$F$205,$B21,'Wyniki zawodów'!$A$6:$A$205,P$4))</x:f>
        <x:v>0</x:v>
      </x:c>
      <x:c r="Q21" s="28" t="n">
        <x:f>IF($B21="",0,SUMIFS('Wyniki zawodów'!$G$6:$G$205,'Wyniki zawodów'!$F$6:$F$205,$B21,'Wyniki zawodów'!$A$6:$A$205,Q$4))</x:f>
        <x:v>0</x:v>
      </x:c>
      <x:c r="R21" s="28" t="n">
        <x:f>IF($B21="",0,SUMIFS('Wyniki zawodów'!$G$6:$G$205,'Wyniki zawodów'!$F$6:$F$205,$B21,'Wyniki zawodów'!$A$6:$A$205,R$4))</x:f>
        <x:v>0</x:v>
      </x:c>
      <x:c r="S21" s="28" t="n">
        <x:f>IF($B21="",0,SUMIFS('Wyniki zawodów'!$G$6:$G$205,'Wyniki zawodów'!$F$6:$F$205,$B21,'Wyniki zawodów'!$A$6:$A$205,S$4))</x:f>
        <x:v>0</x:v>
      </x:c>
      <x:c r="T21" s="28" t="n">
        <x:f>IF($B21="",0,SUMIFS('Wyniki zawodów'!$G$6:$G$205,'Wyniki zawodów'!$F$6:$F$205,$B21,'Wyniki zawodów'!$A$6:$A$205,T$4))</x:f>
        <x:v>0</x:v>
      </x:c>
      <x:c r="U21" s="28" t="n">
        <x:f>IF($B21="",0,SUMIFS('Wyniki zawodów'!$G$6:$G$205,'Wyniki zawodów'!$F$6:$F$205,$B21,'Wyniki zawodów'!$A$6:$A$205,U$4))</x:f>
        <x:v>0</x:v>
      </x:c>
      <x:c r="V21" s="28" t="n">
        <x:f>IF($B21="",0,SUMIFS('Wyniki zawodów'!$G$6:$G$205,'Wyniki zawodów'!$F$6:$F$205,$B21,'Wyniki zawodów'!$A$6:$A$205,V$4))</x:f>
        <x:v>0</x:v>
      </x:c>
      <x:c r="W21" s="28" t="n">
        <x:f>IF($B21="",0,SUMIFS('Wyniki zawodów'!$G$6:$G$205,'Wyniki zawodów'!$F$6:$F$205,$B21,'Wyniki zawodów'!$A$6:$A$205,W$4))</x:f>
        <x:v>0</x:v>
      </x:c>
      <x:c r="X21" s="17" t="n">
        <x:f>IF(B21="","",SUM(D21:W21))</x:f>
        <x:v>14</x:v>
      </x:c>
      <x:c r="Y21" s="29" t="n">
        <x:f>IF(B21="","",LARGE(D21:W21,1)+LARGE(D21:W21,2)+LARGE(D21:W21,3)+LARGE(D21:W21,4))</x:f>
        <x:v>12</x:v>
      </x:c>
      <x:c r="Z21" s="17" t="n">
        <x:f>IF(B21="","",X21-Y21)</x:f>
        <x:v>2</x:v>
      </x:c>
      <x:c r="AA21" s="17" t="n">
        <x:f>IF(B21="",0,Y21*1000+(100-ROW()))</x:f>
        <x:v>12079</x:v>
      </x:c>
    </x:row>
    <x:row r="22">
      <x:c r="A22" s="17" t="n">
        <x:f>IF(B22="","",1+COUNTIF($Y$6:$Y$55,"&gt;"&amp;Y22))</x:f>
        <x:v>1</x:v>
      </x:c>
      <x:c r="B22" s="17" t="str">
        <x:f>IF(COUNTIF('Wyniki zawodów'!$F$6:$F$205,Zawodnicy!A22)=0,"",Zawodnicy!A22)</x:f>
        <x:v>Paweł Piskorz</x:v>
      </x:c>
      <x:c r="C22" s="17" t="n">
        <x:f>IF(B22="","",COUNTIF('Wyniki zawodów'!$F$6:$F$205,B22))</x:f>
        <x:v>6</x:v>
      </x:c>
      <x:c r="D22" s="28" t="n">
        <x:f>IF($B22="",0,SUMIFS('Wyniki zawodów'!$G$6:$G$205,'Wyniki zawodów'!$F$6:$F$205,$B22,'Wyniki zawodów'!$A$6:$A$205,D$4))</x:f>
        <x:v>0</x:v>
      </x:c>
      <x:c r="E22" s="28" t="n">
        <x:f>IF($B22="",0,SUMIFS('Wyniki zawodów'!$G$6:$G$205,'Wyniki zawodów'!$F$6:$F$205,$B22,'Wyniki zawodów'!$A$6:$A$205,E$4))</x:f>
        <x:v>0</x:v>
      </x:c>
      <x:c r="F22" s="28" t="n">
        <x:f>IF($B22="",0,SUMIFS('Wyniki zawodów'!$G$6:$G$205,'Wyniki zawodów'!$F$6:$F$205,$B22,'Wyniki zawodów'!$A$6:$A$205,F$4))</x:f>
        <x:v>1</x:v>
      </x:c>
      <x:c r="G22" s="28" t="n">
        <x:f>IF($B22="",0,SUMIFS('Wyniki zawodów'!$G$6:$G$205,'Wyniki zawodów'!$F$6:$F$205,$B22,'Wyniki zawodów'!$A$6:$A$205,G$4))</x:f>
        <x:v>4</x:v>
      </x:c>
      <x:c r="H22" s="28" t="n">
        <x:f>IF($B22="",0,SUMIFS('Wyniki zawodów'!$G$6:$G$205,'Wyniki zawodów'!$F$6:$F$205,$B22,'Wyniki zawodów'!$A$6:$A$205,H$4))</x:f>
        <x:v>0</x:v>
      </x:c>
      <x:c r="I22" s="28" t="n">
        <x:f>IF($B22="",0,SUMIFS('Wyniki zawodów'!$G$6:$G$205,'Wyniki zawodów'!$F$6:$F$205,$B22,'Wyniki zawodów'!$A$6:$A$205,I$4))</x:f>
        <x:v>5</x:v>
      </x:c>
      <x:c r="J22" s="28" t="n">
        <x:f>IF($B22="",0,SUMIFS('Wyniki zawodów'!$G$6:$G$205,'Wyniki zawodów'!$F$6:$F$205,$B22,'Wyniki zawodów'!$A$6:$A$205,J$4))</x:f>
        <x:v>0</x:v>
      </x:c>
      <x:c r="K22" s="28" t="n">
        <x:f>IF($B22="",0,SUMIFS('Wyniki zawodów'!$G$6:$G$205,'Wyniki zawodów'!$F$6:$F$205,$B22,'Wyniki zawodów'!$A$6:$A$205,K$4))</x:f>
        <x:v>5</x:v>
      </x:c>
      <x:c r="L22" s="28" t="n">
        <x:f>IF($B22="",0,SUMIFS('Wyniki zawodów'!$G$6:$G$205,'Wyniki zawodów'!$F$6:$F$205,$B22,'Wyniki zawodów'!$A$6:$A$205,L$4))</x:f>
        <x:v>5</x:v>
      </x:c>
      <x:c r="M22" s="28" t="n">
        <x:f>IF($B22="",0,SUMIFS('Wyniki zawodów'!$G$6:$G$205,'Wyniki zawodów'!$F$6:$F$205,$B22,'Wyniki zawodów'!$A$6:$A$205,M$4))</x:f>
        <x:v>3</x:v>
      </x:c>
      <x:c r="N22" s="28" t="n">
        <x:f>IF($B22="",0,SUMIFS('Wyniki zawodów'!$G$6:$G$205,'Wyniki zawodów'!$F$6:$F$205,$B22,'Wyniki zawodów'!$A$6:$A$205,N$4))</x:f>
        <x:v>0</x:v>
      </x:c>
      <x:c r="O22" s="28" t="n">
        <x:f>IF($B22="",0,SUMIFS('Wyniki zawodów'!$G$6:$G$205,'Wyniki zawodów'!$F$6:$F$205,$B22,'Wyniki zawodów'!$A$6:$A$205,O$4))</x:f>
        <x:v>0</x:v>
      </x:c>
      <x:c r="P22" s="28" t="n">
        <x:f>IF($B22="",0,SUMIFS('Wyniki zawodów'!$G$6:$G$205,'Wyniki zawodów'!$F$6:$F$205,$B22,'Wyniki zawodów'!$A$6:$A$205,P$4))</x:f>
        <x:v>0</x:v>
      </x:c>
      <x:c r="Q22" s="28" t="n">
        <x:f>IF($B22="",0,SUMIFS('Wyniki zawodów'!$G$6:$G$205,'Wyniki zawodów'!$F$6:$F$205,$B22,'Wyniki zawodów'!$A$6:$A$205,Q$4))</x:f>
        <x:v>0</x:v>
      </x:c>
      <x:c r="R22" s="28" t="n">
        <x:f>IF($B22="",0,SUMIFS('Wyniki zawodów'!$G$6:$G$205,'Wyniki zawodów'!$F$6:$F$205,$B22,'Wyniki zawodów'!$A$6:$A$205,R$4))</x:f>
        <x:v>0</x:v>
      </x:c>
      <x:c r="S22" s="28" t="n">
        <x:f>IF($B22="",0,SUMIFS('Wyniki zawodów'!$G$6:$G$205,'Wyniki zawodów'!$F$6:$F$205,$B22,'Wyniki zawodów'!$A$6:$A$205,S$4))</x:f>
        <x:v>0</x:v>
      </x:c>
      <x:c r="T22" s="28" t="n">
        <x:f>IF($B22="",0,SUMIFS('Wyniki zawodów'!$G$6:$G$205,'Wyniki zawodów'!$F$6:$F$205,$B22,'Wyniki zawodów'!$A$6:$A$205,T$4))</x:f>
        <x:v>0</x:v>
      </x:c>
      <x:c r="U22" s="28" t="n">
        <x:f>IF($B22="",0,SUMIFS('Wyniki zawodów'!$G$6:$G$205,'Wyniki zawodów'!$F$6:$F$205,$B22,'Wyniki zawodów'!$A$6:$A$205,U$4))</x:f>
        <x:v>0</x:v>
      </x:c>
      <x:c r="V22" s="28" t="n">
        <x:f>IF($B22="",0,SUMIFS('Wyniki zawodów'!$G$6:$G$205,'Wyniki zawodów'!$F$6:$F$205,$B22,'Wyniki zawodów'!$A$6:$A$205,V$4))</x:f>
        <x:v>0</x:v>
      </x:c>
      <x:c r="W22" s="28" t="n">
        <x:f>IF($B22="",0,SUMIFS('Wyniki zawodów'!$G$6:$G$205,'Wyniki zawodów'!$F$6:$F$205,$B22,'Wyniki zawodów'!$A$6:$A$205,W$4))</x:f>
        <x:v>0</x:v>
      </x:c>
      <x:c r="X22" s="17" t="n">
        <x:f>IF(B22="","",SUM(D22:W22))</x:f>
        <x:v>23</x:v>
      </x:c>
      <x:c r="Y22" s="29" t="n">
        <x:f>IF(B22="","",LARGE(D22:W22,1)+LARGE(D22:W22,2)+LARGE(D22:W22,3)+LARGE(D22:W22,4))</x:f>
        <x:v>19</x:v>
      </x:c>
      <x:c r="Z22" s="17" t="n">
        <x:f>IF(B22="","",X22-Y22)</x:f>
        <x:v>4</x:v>
      </x:c>
      <x:c r="AA22" s="17" t="n">
        <x:f>IF(B22="",0,Y22*1000+(100-ROW()))</x:f>
        <x:v>19078</x:v>
      </x:c>
    </x:row>
    <x:row r="23">
      <x:c r="A23" s="17" t="n">
        <x:f>IF(B23="","",1+COUNTIF($Y$6:$Y$55,"&gt;"&amp;Y23))</x:f>
        <x:v>14</x:v>
      </x:c>
      <x:c r="B23" s="17" t="str">
        <x:f>IF(COUNTIF('Wyniki zawodów'!$F$6:$F$205,Zawodnicy!A23)=0,"",Zawodnicy!A23)</x:f>
        <x:v>Przemysław Marczewski</x:v>
      </x:c>
      <x:c r="C23" s="17" t="n">
        <x:f>IF(B23="","",COUNTIF('Wyniki zawodów'!$F$6:$F$205,B23))</x:f>
        <x:v>1</x:v>
      </x:c>
      <x:c r="D23" s="28" t="n">
        <x:f>IF($B23="",0,SUMIFS('Wyniki zawodów'!$G$6:$G$205,'Wyniki zawodów'!$F$6:$F$205,$B23,'Wyniki zawodów'!$A$6:$A$205,D$4))</x:f>
        <x:v>0</x:v>
      </x:c>
      <x:c r="E23" s="28" t="n">
        <x:f>IF($B23="",0,SUMIFS('Wyniki zawodów'!$G$6:$G$205,'Wyniki zawodów'!$F$6:$F$205,$B23,'Wyniki zawodów'!$A$6:$A$205,E$4))</x:f>
        <x:v>0</x:v>
      </x:c>
      <x:c r="F23" s="28" t="n">
        <x:f>IF($B23="",0,SUMIFS('Wyniki zawodów'!$G$6:$G$205,'Wyniki zawodów'!$F$6:$F$205,$B23,'Wyniki zawodów'!$A$6:$A$205,F$4))</x:f>
        <x:v>0</x:v>
      </x:c>
      <x:c r="G23" s="28" t="n">
        <x:f>IF($B23="",0,SUMIFS('Wyniki zawodów'!$G$6:$G$205,'Wyniki zawodów'!$F$6:$F$205,$B23,'Wyniki zawodów'!$A$6:$A$205,G$4))</x:f>
        <x:v>2</x:v>
      </x:c>
      <x:c r="H23" s="28" t="n">
        <x:f>IF($B23="",0,SUMIFS('Wyniki zawodów'!$G$6:$G$205,'Wyniki zawodów'!$F$6:$F$205,$B23,'Wyniki zawodów'!$A$6:$A$205,H$4))</x:f>
        <x:v>0</x:v>
      </x:c>
      <x:c r="I23" s="28" t="n">
        <x:f>IF($B23="",0,SUMIFS('Wyniki zawodów'!$G$6:$G$205,'Wyniki zawodów'!$F$6:$F$205,$B23,'Wyniki zawodów'!$A$6:$A$205,I$4))</x:f>
        <x:v>0</x:v>
      </x:c>
      <x:c r="J23" s="28" t="n">
        <x:f>IF($B23="",0,SUMIFS('Wyniki zawodów'!$G$6:$G$205,'Wyniki zawodów'!$F$6:$F$205,$B23,'Wyniki zawodów'!$A$6:$A$205,J$4))</x:f>
        <x:v>0</x:v>
      </x:c>
      <x:c r="K23" s="28" t="n">
        <x:f>IF($B23="",0,SUMIFS('Wyniki zawodów'!$G$6:$G$205,'Wyniki zawodów'!$F$6:$F$205,$B23,'Wyniki zawodów'!$A$6:$A$205,K$4))</x:f>
        <x:v>0</x:v>
      </x:c>
      <x:c r="L23" s="28" t="n">
        <x:f>IF($B23="",0,SUMIFS('Wyniki zawodów'!$G$6:$G$205,'Wyniki zawodów'!$F$6:$F$205,$B23,'Wyniki zawodów'!$A$6:$A$205,L$4))</x:f>
        <x:v>0</x:v>
      </x:c>
      <x:c r="M23" s="28" t="n">
        <x:f>IF($B23="",0,SUMIFS('Wyniki zawodów'!$G$6:$G$205,'Wyniki zawodów'!$F$6:$F$205,$B23,'Wyniki zawodów'!$A$6:$A$205,M$4))</x:f>
        <x:v>0</x:v>
      </x:c>
      <x:c r="N23" s="28" t="n">
        <x:f>IF($B23="",0,SUMIFS('Wyniki zawodów'!$G$6:$G$205,'Wyniki zawodów'!$F$6:$F$205,$B23,'Wyniki zawodów'!$A$6:$A$205,N$4))</x:f>
        <x:v>0</x:v>
      </x:c>
      <x:c r="O23" s="28" t="n">
        <x:f>IF($B23="",0,SUMIFS('Wyniki zawodów'!$G$6:$G$205,'Wyniki zawodów'!$F$6:$F$205,$B23,'Wyniki zawodów'!$A$6:$A$205,O$4))</x:f>
        <x:v>0</x:v>
      </x:c>
      <x:c r="P23" s="28" t="n">
        <x:f>IF($B23="",0,SUMIFS('Wyniki zawodów'!$G$6:$G$205,'Wyniki zawodów'!$F$6:$F$205,$B23,'Wyniki zawodów'!$A$6:$A$205,P$4))</x:f>
        <x:v>0</x:v>
      </x:c>
      <x:c r="Q23" s="28" t="n">
        <x:f>IF($B23="",0,SUMIFS('Wyniki zawodów'!$G$6:$G$205,'Wyniki zawodów'!$F$6:$F$205,$B23,'Wyniki zawodów'!$A$6:$A$205,Q$4))</x:f>
        <x:v>0</x:v>
      </x:c>
      <x:c r="R23" s="28" t="n">
        <x:f>IF($B23="",0,SUMIFS('Wyniki zawodów'!$G$6:$G$205,'Wyniki zawodów'!$F$6:$F$205,$B23,'Wyniki zawodów'!$A$6:$A$205,R$4))</x:f>
        <x:v>0</x:v>
      </x:c>
      <x:c r="S23" s="28" t="n">
        <x:f>IF($B23="",0,SUMIFS('Wyniki zawodów'!$G$6:$G$205,'Wyniki zawodów'!$F$6:$F$205,$B23,'Wyniki zawodów'!$A$6:$A$205,S$4))</x:f>
        <x:v>0</x:v>
      </x:c>
      <x:c r="T23" s="28" t="n">
        <x:f>IF($B23="",0,SUMIFS('Wyniki zawodów'!$G$6:$G$205,'Wyniki zawodów'!$F$6:$F$205,$B23,'Wyniki zawodów'!$A$6:$A$205,T$4))</x:f>
        <x:v>0</x:v>
      </x:c>
      <x:c r="U23" s="28" t="n">
        <x:f>IF($B23="",0,SUMIFS('Wyniki zawodów'!$G$6:$G$205,'Wyniki zawodów'!$F$6:$F$205,$B23,'Wyniki zawodów'!$A$6:$A$205,U$4))</x:f>
        <x:v>0</x:v>
      </x:c>
      <x:c r="V23" s="28" t="n">
        <x:f>IF($B23="",0,SUMIFS('Wyniki zawodów'!$G$6:$G$205,'Wyniki zawodów'!$F$6:$F$205,$B23,'Wyniki zawodów'!$A$6:$A$205,V$4))</x:f>
        <x:v>0</x:v>
      </x:c>
      <x:c r="W23" s="28" t="n">
        <x:f>IF($B23="",0,SUMIFS('Wyniki zawodów'!$G$6:$G$205,'Wyniki zawodów'!$F$6:$F$205,$B23,'Wyniki zawodów'!$A$6:$A$205,W$4))</x:f>
        <x:v>0</x:v>
      </x:c>
      <x:c r="X23" s="17" t="n">
        <x:f>IF(B23="","",SUM(D23:W23))</x:f>
        <x:v>2</x:v>
      </x:c>
      <x:c r="Y23" s="29" t="n">
        <x:f>IF(B23="","",LARGE(D23:W23,1)+LARGE(D23:W23,2)+LARGE(D23:W23,3)+LARGE(D23:W23,4))</x:f>
        <x:v>2</x:v>
      </x:c>
      <x:c r="Z23" s="17" t="n">
        <x:f>IF(B23="","",X23-Y23)</x:f>
        <x:v>0</x:v>
      </x:c>
      <x:c r="AA23" s="17" t="n">
        <x:f>IF(B23="",0,Y23*1000+(100-ROW()))</x:f>
        <x:v>2077</x:v>
      </x:c>
    </x:row>
    <x:row r="24">
      <x:c r="A24" s="17" t="n">
        <x:f>IF(B24="","",1+COUNTIF($Y$6:$Y$55,"&gt;"&amp;Y24))</x:f>
        <x:v>2</x:v>
      </x:c>
      <x:c r="B24" s="17" t="str">
        <x:f>IF(COUNTIF('Wyniki zawodów'!$F$6:$F$205,Zawodnicy!A24)=0,"",Zawodnicy!A24)</x:f>
        <x:v>Rafał Sojc</x:v>
      </x:c>
      <x:c r="C24" s="17" t="n">
        <x:f>IF(B24="","",COUNTIF('Wyniki zawodów'!$F$6:$F$205,B24))</x:f>
        <x:v>4</x:v>
      </x:c>
      <x:c r="D24" s="28" t="n">
        <x:f>IF($B24="",0,SUMIFS('Wyniki zawodów'!$G$6:$G$205,'Wyniki zawodów'!$F$6:$F$205,$B24,'Wyniki zawodów'!$A$6:$A$205,D$4))</x:f>
        <x:v>0</x:v>
      </x:c>
      <x:c r="E24" s="28" t="n">
        <x:f>IF($B24="",0,SUMIFS('Wyniki zawodów'!$G$6:$G$205,'Wyniki zawodów'!$F$6:$F$205,$B24,'Wyniki zawodów'!$A$6:$A$205,E$4))</x:f>
        <x:v>0</x:v>
      </x:c>
      <x:c r="F24" s="28" t="n">
        <x:f>IF($B24="",0,SUMIFS('Wyniki zawodów'!$G$6:$G$205,'Wyniki zawodów'!$F$6:$F$205,$B24,'Wyniki zawodów'!$A$6:$A$205,F$4))</x:f>
        <x:v>4</x:v>
      </x:c>
      <x:c r="G24" s="28" t="n">
        <x:f>IF($B24="",0,SUMIFS('Wyniki zawodów'!$G$6:$G$205,'Wyniki zawodów'!$F$6:$F$205,$B24,'Wyniki zawodów'!$A$6:$A$205,G$4))</x:f>
        <x:v>5</x:v>
      </x:c>
      <x:c r="H24" s="28" t="n">
        <x:f>IF($B24="",0,SUMIFS('Wyniki zawodów'!$G$6:$G$205,'Wyniki zawodów'!$F$6:$F$205,$B24,'Wyniki zawodów'!$A$6:$A$205,H$4))</x:f>
        <x:v>0</x:v>
      </x:c>
      <x:c r="I24" s="28" t="n">
        <x:f>IF($B24="",0,SUMIFS('Wyniki zawodów'!$G$6:$G$205,'Wyniki zawodów'!$F$6:$F$205,$B24,'Wyniki zawodów'!$A$6:$A$205,I$4))</x:f>
        <x:v>0</x:v>
      </x:c>
      <x:c r="J24" s="28" t="n">
        <x:f>IF($B24="",0,SUMIFS('Wyniki zawodów'!$G$6:$G$205,'Wyniki zawodów'!$F$6:$F$205,$B24,'Wyniki zawodów'!$A$6:$A$205,J$4))</x:f>
        <x:v>5</x:v>
      </x:c>
      <x:c r="K24" s="28" t="n">
        <x:f>IF($B24="",0,SUMIFS('Wyniki zawodów'!$G$6:$G$205,'Wyniki zawodów'!$F$6:$F$205,$B24,'Wyniki zawodów'!$A$6:$A$205,K$4))</x:f>
        <x:v>0</x:v>
      </x:c>
      <x:c r="L24" s="28" t="n">
        <x:f>IF($B24="",0,SUMIFS('Wyniki zawodów'!$G$6:$G$205,'Wyniki zawodów'!$F$6:$F$205,$B24,'Wyniki zawodów'!$A$6:$A$205,L$4))</x:f>
        <x:v>4</x:v>
      </x:c>
      <x:c r="M24" s="28" t="n">
        <x:f>IF($B24="",0,SUMIFS('Wyniki zawodów'!$G$6:$G$205,'Wyniki zawodów'!$F$6:$F$205,$B24,'Wyniki zawodów'!$A$6:$A$205,M$4))</x:f>
        <x:v>0</x:v>
      </x:c>
      <x:c r="N24" s="28" t="n">
        <x:f>IF($B24="",0,SUMIFS('Wyniki zawodów'!$G$6:$G$205,'Wyniki zawodów'!$F$6:$F$205,$B24,'Wyniki zawodów'!$A$6:$A$205,N$4))</x:f>
        <x:v>0</x:v>
      </x:c>
      <x:c r="O24" s="28" t="n">
        <x:f>IF($B24="",0,SUMIFS('Wyniki zawodów'!$G$6:$G$205,'Wyniki zawodów'!$F$6:$F$205,$B24,'Wyniki zawodów'!$A$6:$A$205,O$4))</x:f>
        <x:v>0</x:v>
      </x:c>
      <x:c r="P24" s="28" t="n">
        <x:f>IF($B24="",0,SUMIFS('Wyniki zawodów'!$G$6:$G$205,'Wyniki zawodów'!$F$6:$F$205,$B24,'Wyniki zawodów'!$A$6:$A$205,P$4))</x:f>
        <x:v>0</x:v>
      </x:c>
      <x:c r="Q24" s="28" t="n">
        <x:f>IF($B24="",0,SUMIFS('Wyniki zawodów'!$G$6:$G$205,'Wyniki zawodów'!$F$6:$F$205,$B24,'Wyniki zawodów'!$A$6:$A$205,Q$4))</x:f>
        <x:v>0</x:v>
      </x:c>
      <x:c r="R24" s="28" t="n">
        <x:f>IF($B24="",0,SUMIFS('Wyniki zawodów'!$G$6:$G$205,'Wyniki zawodów'!$F$6:$F$205,$B24,'Wyniki zawodów'!$A$6:$A$205,R$4))</x:f>
        <x:v>0</x:v>
      </x:c>
      <x:c r="S24" s="28" t="n">
        <x:f>IF($B24="",0,SUMIFS('Wyniki zawodów'!$G$6:$G$205,'Wyniki zawodów'!$F$6:$F$205,$B24,'Wyniki zawodów'!$A$6:$A$205,S$4))</x:f>
        <x:v>0</x:v>
      </x:c>
      <x:c r="T24" s="28" t="n">
        <x:f>IF($B24="",0,SUMIFS('Wyniki zawodów'!$G$6:$G$205,'Wyniki zawodów'!$F$6:$F$205,$B24,'Wyniki zawodów'!$A$6:$A$205,T$4))</x:f>
        <x:v>0</x:v>
      </x:c>
      <x:c r="U24" s="28" t="n">
        <x:f>IF($B24="",0,SUMIFS('Wyniki zawodów'!$G$6:$G$205,'Wyniki zawodów'!$F$6:$F$205,$B24,'Wyniki zawodów'!$A$6:$A$205,U$4))</x:f>
        <x:v>0</x:v>
      </x:c>
      <x:c r="V24" s="28" t="n">
        <x:f>IF($B24="",0,SUMIFS('Wyniki zawodów'!$G$6:$G$205,'Wyniki zawodów'!$F$6:$F$205,$B24,'Wyniki zawodów'!$A$6:$A$205,V$4))</x:f>
        <x:v>0</x:v>
      </x:c>
      <x:c r="W24" s="28" t="n">
        <x:f>IF($B24="",0,SUMIFS('Wyniki zawodów'!$G$6:$G$205,'Wyniki zawodów'!$F$6:$F$205,$B24,'Wyniki zawodów'!$A$6:$A$205,W$4))</x:f>
        <x:v>0</x:v>
      </x:c>
      <x:c r="X24" s="17" t="n">
        <x:f>IF(B24="","",SUM(D24:W24))</x:f>
        <x:v>18</x:v>
      </x:c>
      <x:c r="Y24" s="29" t="n">
        <x:f>IF(B24="","",LARGE(D24:W24,1)+LARGE(D24:W24,2)+LARGE(D24:W24,3)+LARGE(D24:W24,4))</x:f>
        <x:v>18</x:v>
      </x:c>
      <x:c r="Z24" s="17" t="n">
        <x:f>IF(B24="","",X24-Y24)</x:f>
        <x:v>0</x:v>
      </x:c>
      <x:c r="AA24" s="17" t="n">
        <x:f>IF(B24="",0,Y24*1000+(100-ROW()))</x:f>
        <x:v>18076</x:v>
      </x:c>
    </x:row>
    <x:row r="25">
      <x:c r="A25" s="17" t="n">
        <x:f>IF(B25="","",1+COUNTIF($Y$6:$Y$55,"&gt;"&amp;Y25))</x:f>
        <x:v>12</x:v>
      </x:c>
      <x:c r="B25" s="17" t="str">
        <x:f>IF(COUNTIF('Wyniki zawodów'!$F$6:$F$205,Zawodnicy!A25)=0,"",Zawodnicy!A25)</x:f>
        <x:v>Tomasz Lademann</x:v>
      </x:c>
      <x:c r="C25" s="17" t="n">
        <x:f>IF(B25="","",COUNTIF('Wyniki zawodów'!$F$6:$F$205,B25))</x:f>
        <x:v>1</x:v>
      </x:c>
      <x:c r="D25" s="28" t="n">
        <x:f>IF($B25="",0,SUMIFS('Wyniki zawodów'!$G$6:$G$205,'Wyniki zawodów'!$F$6:$F$205,$B25,'Wyniki zawodów'!$A$6:$A$205,D$4))</x:f>
        <x:v>0</x:v>
      </x:c>
      <x:c r="E25" s="28" t="n">
        <x:f>IF($B25="",0,SUMIFS('Wyniki zawodów'!$G$6:$G$205,'Wyniki zawodów'!$F$6:$F$205,$B25,'Wyniki zawodów'!$A$6:$A$205,E$4))</x:f>
        <x:v>3</x:v>
      </x:c>
      <x:c r="F25" s="28" t="n">
        <x:f>IF($B25="",0,SUMIFS('Wyniki zawodów'!$G$6:$G$205,'Wyniki zawodów'!$F$6:$F$205,$B25,'Wyniki zawodów'!$A$6:$A$205,F$4))</x:f>
        <x:v>0</x:v>
      </x:c>
      <x:c r="G25" s="28" t="n">
        <x:f>IF($B25="",0,SUMIFS('Wyniki zawodów'!$G$6:$G$205,'Wyniki zawodów'!$F$6:$F$205,$B25,'Wyniki zawodów'!$A$6:$A$205,G$4))</x:f>
        <x:v>0</x:v>
      </x:c>
      <x:c r="H25" s="28" t="n">
        <x:f>IF($B25="",0,SUMIFS('Wyniki zawodów'!$G$6:$G$205,'Wyniki zawodów'!$F$6:$F$205,$B25,'Wyniki zawodów'!$A$6:$A$205,H$4))</x:f>
        <x:v>0</x:v>
      </x:c>
      <x:c r="I25" s="28" t="n">
        <x:f>IF($B25="",0,SUMIFS('Wyniki zawodów'!$G$6:$G$205,'Wyniki zawodów'!$F$6:$F$205,$B25,'Wyniki zawodów'!$A$6:$A$205,I$4))</x:f>
        <x:v>0</x:v>
      </x:c>
      <x:c r="J25" s="28" t="n">
        <x:f>IF($B25="",0,SUMIFS('Wyniki zawodów'!$G$6:$G$205,'Wyniki zawodów'!$F$6:$F$205,$B25,'Wyniki zawodów'!$A$6:$A$205,J$4))</x:f>
        <x:v>0</x:v>
      </x:c>
      <x:c r="K25" s="28" t="n">
        <x:f>IF($B25="",0,SUMIFS('Wyniki zawodów'!$G$6:$G$205,'Wyniki zawodów'!$F$6:$F$205,$B25,'Wyniki zawodów'!$A$6:$A$205,K$4))</x:f>
        <x:v>0</x:v>
      </x:c>
      <x:c r="L25" s="28" t="n">
        <x:f>IF($B25="",0,SUMIFS('Wyniki zawodów'!$G$6:$G$205,'Wyniki zawodów'!$F$6:$F$205,$B25,'Wyniki zawodów'!$A$6:$A$205,L$4))</x:f>
        <x:v>0</x:v>
      </x:c>
      <x:c r="M25" s="28" t="n">
        <x:f>IF($B25="",0,SUMIFS('Wyniki zawodów'!$G$6:$G$205,'Wyniki zawodów'!$F$6:$F$205,$B25,'Wyniki zawodów'!$A$6:$A$205,M$4))</x:f>
        <x:v>0</x:v>
      </x:c>
      <x:c r="N25" s="28" t="n">
        <x:f>IF($B25="",0,SUMIFS('Wyniki zawodów'!$G$6:$G$205,'Wyniki zawodów'!$F$6:$F$205,$B25,'Wyniki zawodów'!$A$6:$A$205,N$4))</x:f>
        <x:v>0</x:v>
      </x:c>
      <x:c r="O25" s="28" t="n">
        <x:f>IF($B25="",0,SUMIFS('Wyniki zawodów'!$G$6:$G$205,'Wyniki zawodów'!$F$6:$F$205,$B25,'Wyniki zawodów'!$A$6:$A$205,O$4))</x:f>
        <x:v>0</x:v>
      </x:c>
      <x:c r="P25" s="28" t="n">
        <x:f>IF($B25="",0,SUMIFS('Wyniki zawodów'!$G$6:$G$205,'Wyniki zawodów'!$F$6:$F$205,$B25,'Wyniki zawodów'!$A$6:$A$205,P$4))</x:f>
        <x:v>0</x:v>
      </x:c>
      <x:c r="Q25" s="28" t="n">
        <x:f>IF($B25="",0,SUMIFS('Wyniki zawodów'!$G$6:$G$205,'Wyniki zawodów'!$F$6:$F$205,$B25,'Wyniki zawodów'!$A$6:$A$205,Q$4))</x:f>
        <x:v>0</x:v>
      </x:c>
      <x:c r="R25" s="28" t="n">
        <x:f>IF($B25="",0,SUMIFS('Wyniki zawodów'!$G$6:$G$205,'Wyniki zawodów'!$F$6:$F$205,$B25,'Wyniki zawodów'!$A$6:$A$205,R$4))</x:f>
        <x:v>0</x:v>
      </x:c>
      <x:c r="S25" s="28" t="n">
        <x:f>IF($B25="",0,SUMIFS('Wyniki zawodów'!$G$6:$G$205,'Wyniki zawodów'!$F$6:$F$205,$B25,'Wyniki zawodów'!$A$6:$A$205,S$4))</x:f>
        <x:v>0</x:v>
      </x:c>
      <x:c r="T25" s="28" t="n">
        <x:f>IF($B25="",0,SUMIFS('Wyniki zawodów'!$G$6:$G$205,'Wyniki zawodów'!$F$6:$F$205,$B25,'Wyniki zawodów'!$A$6:$A$205,T$4))</x:f>
        <x:v>0</x:v>
      </x:c>
      <x:c r="U25" s="28" t="n">
        <x:f>IF($B25="",0,SUMIFS('Wyniki zawodów'!$G$6:$G$205,'Wyniki zawodów'!$F$6:$F$205,$B25,'Wyniki zawodów'!$A$6:$A$205,U$4))</x:f>
        <x:v>0</x:v>
      </x:c>
      <x:c r="V25" s="28" t="n">
        <x:f>IF($B25="",0,SUMIFS('Wyniki zawodów'!$G$6:$G$205,'Wyniki zawodów'!$F$6:$F$205,$B25,'Wyniki zawodów'!$A$6:$A$205,V$4))</x:f>
        <x:v>0</x:v>
      </x:c>
      <x:c r="W25" s="28" t="n">
        <x:f>IF($B25="",0,SUMIFS('Wyniki zawodów'!$G$6:$G$205,'Wyniki zawodów'!$F$6:$F$205,$B25,'Wyniki zawodów'!$A$6:$A$205,W$4))</x:f>
        <x:v>0</x:v>
      </x:c>
      <x:c r="X25" s="17" t="n">
        <x:f>IF(B25="","",SUM(D25:W25))</x:f>
        <x:v>3</x:v>
      </x:c>
      <x:c r="Y25" s="29" t="n">
        <x:f>IF(B25="","",LARGE(D25:W25,1)+LARGE(D25:W25,2)+LARGE(D25:W25,3)+LARGE(D25:W25,4))</x:f>
        <x:v>3</x:v>
      </x:c>
      <x:c r="Z25" s="17" t="n">
        <x:f>IF(B25="","",X25-Y25)</x:f>
        <x:v>0</x:v>
      </x:c>
      <x:c r="AA25" s="17" t="n">
        <x:f>IF(B25="",0,Y25*1000+(100-ROW()))</x:f>
        <x:v>3075</x:v>
      </x:c>
    </x:row>
    <x:row r="26">
      <x:c r="A26" s="17" t="str">
        <x:f>IF(B26="","",1+COUNTIF($Y$6:$Y$55,"&gt;"&amp;Y26))</x:f>
      </x:c>
      <x:c r="B26" s="17" t="str">
        <x:f>IF(COUNTIF('Wyniki zawodów'!$F$6:$F$205,Zawodnicy!A26)=0,"",Zawodnicy!A26)</x:f>
      </x:c>
      <x:c r="C26" s="17" t="str">
        <x:f>IF(B26="","",COUNTIF('Wyniki zawodów'!$F$6:$F$205,B26))</x:f>
      </x:c>
      <x:c r="D26" s="28" t="n">
        <x:f>IF($B26="",0,SUMIFS('Wyniki zawodów'!$G$6:$G$205,'Wyniki zawodów'!$F$6:$F$205,$B26,'Wyniki zawodów'!$A$6:$A$205,D$4))</x:f>
        <x:v>0</x:v>
      </x:c>
      <x:c r="E26" s="28" t="n">
        <x:f>IF($B26="",0,SUMIFS('Wyniki zawodów'!$G$6:$G$205,'Wyniki zawodów'!$F$6:$F$205,$B26,'Wyniki zawodów'!$A$6:$A$205,E$4))</x:f>
        <x:v>0</x:v>
      </x:c>
      <x:c r="F26" s="28" t="n">
        <x:f>IF($B26="",0,SUMIFS('Wyniki zawodów'!$G$6:$G$205,'Wyniki zawodów'!$F$6:$F$205,$B26,'Wyniki zawodów'!$A$6:$A$205,F$4))</x:f>
        <x:v>0</x:v>
      </x:c>
      <x:c r="G26" s="28" t="n">
        <x:f>IF($B26="",0,SUMIFS('Wyniki zawodów'!$G$6:$G$205,'Wyniki zawodów'!$F$6:$F$205,$B26,'Wyniki zawodów'!$A$6:$A$205,G$4))</x:f>
        <x:v>0</x:v>
      </x:c>
      <x:c r="H26" s="28" t="n">
        <x:f>IF($B26="",0,SUMIFS('Wyniki zawodów'!$G$6:$G$205,'Wyniki zawodów'!$F$6:$F$205,$B26,'Wyniki zawodów'!$A$6:$A$205,H$4))</x:f>
        <x:v>0</x:v>
      </x:c>
      <x:c r="I26" s="28" t="n">
        <x:f>IF($B26="",0,SUMIFS('Wyniki zawodów'!$G$6:$G$205,'Wyniki zawodów'!$F$6:$F$205,$B26,'Wyniki zawodów'!$A$6:$A$205,I$4))</x:f>
        <x:v>0</x:v>
      </x:c>
      <x:c r="J26" s="28" t="n">
        <x:f>IF($B26="",0,SUMIFS('Wyniki zawodów'!$G$6:$G$205,'Wyniki zawodów'!$F$6:$F$205,$B26,'Wyniki zawodów'!$A$6:$A$205,J$4))</x:f>
        <x:v>0</x:v>
      </x:c>
      <x:c r="K26" s="28" t="n">
        <x:f>IF($B26="",0,SUMIFS('Wyniki zawodów'!$G$6:$G$205,'Wyniki zawodów'!$F$6:$F$205,$B26,'Wyniki zawodów'!$A$6:$A$205,K$4))</x:f>
        <x:v>0</x:v>
      </x:c>
      <x:c r="L26" s="28" t="n">
        <x:f>IF($B26="",0,SUMIFS('Wyniki zawodów'!$G$6:$G$205,'Wyniki zawodów'!$F$6:$F$205,$B26,'Wyniki zawodów'!$A$6:$A$205,L$4))</x:f>
        <x:v>0</x:v>
      </x:c>
      <x:c r="M26" s="28" t="n">
        <x:f>IF($B26="",0,SUMIFS('Wyniki zawodów'!$G$6:$G$205,'Wyniki zawodów'!$F$6:$F$205,$B26,'Wyniki zawodów'!$A$6:$A$205,M$4))</x:f>
        <x:v>0</x:v>
      </x:c>
      <x:c r="N26" s="28" t="n">
        <x:f>IF($B26="",0,SUMIFS('Wyniki zawodów'!$G$6:$G$205,'Wyniki zawodów'!$F$6:$F$205,$B26,'Wyniki zawodów'!$A$6:$A$205,N$4))</x:f>
        <x:v>0</x:v>
      </x:c>
      <x:c r="O26" s="28" t="n">
        <x:f>IF($B26="",0,SUMIFS('Wyniki zawodów'!$G$6:$G$205,'Wyniki zawodów'!$F$6:$F$205,$B26,'Wyniki zawodów'!$A$6:$A$205,O$4))</x:f>
        <x:v>0</x:v>
      </x:c>
      <x:c r="P26" s="28" t="n">
        <x:f>IF($B26="",0,SUMIFS('Wyniki zawodów'!$G$6:$G$205,'Wyniki zawodów'!$F$6:$F$205,$B26,'Wyniki zawodów'!$A$6:$A$205,P$4))</x:f>
        <x:v>0</x:v>
      </x:c>
      <x:c r="Q26" s="28" t="n">
        <x:f>IF($B26="",0,SUMIFS('Wyniki zawodów'!$G$6:$G$205,'Wyniki zawodów'!$F$6:$F$205,$B26,'Wyniki zawodów'!$A$6:$A$205,Q$4))</x:f>
        <x:v>0</x:v>
      </x:c>
      <x:c r="R26" s="28" t="n">
        <x:f>IF($B26="",0,SUMIFS('Wyniki zawodów'!$G$6:$G$205,'Wyniki zawodów'!$F$6:$F$205,$B26,'Wyniki zawodów'!$A$6:$A$205,R$4))</x:f>
        <x:v>0</x:v>
      </x:c>
      <x:c r="S26" s="28" t="n">
        <x:f>IF($B26="",0,SUMIFS('Wyniki zawodów'!$G$6:$G$205,'Wyniki zawodów'!$F$6:$F$205,$B26,'Wyniki zawodów'!$A$6:$A$205,S$4))</x:f>
        <x:v>0</x:v>
      </x:c>
      <x:c r="T26" s="28" t="n">
        <x:f>IF($B26="",0,SUMIFS('Wyniki zawodów'!$G$6:$G$205,'Wyniki zawodów'!$F$6:$F$205,$B26,'Wyniki zawodów'!$A$6:$A$205,T$4))</x:f>
        <x:v>0</x:v>
      </x:c>
      <x:c r="U26" s="28" t="n">
        <x:f>IF($B26="",0,SUMIFS('Wyniki zawodów'!$G$6:$G$205,'Wyniki zawodów'!$F$6:$F$205,$B26,'Wyniki zawodów'!$A$6:$A$205,U$4))</x:f>
        <x:v>0</x:v>
      </x:c>
      <x:c r="V26" s="28" t="n">
        <x:f>IF($B26="",0,SUMIFS('Wyniki zawodów'!$G$6:$G$205,'Wyniki zawodów'!$F$6:$F$205,$B26,'Wyniki zawodów'!$A$6:$A$205,V$4))</x:f>
        <x:v>0</x:v>
      </x:c>
      <x:c r="W26" s="28" t="n">
        <x:f>IF($B26="",0,SUMIFS('Wyniki zawodów'!$G$6:$G$205,'Wyniki zawodów'!$F$6:$F$205,$B26,'Wyniki zawodów'!$A$6:$A$205,W$4))</x:f>
        <x:v>0</x:v>
      </x:c>
      <x:c r="X26" s="17" t="str">
        <x:f>IF(B26="","",SUM(D26:W26))</x:f>
      </x:c>
      <x:c r="Y26" s="29" t="str">
        <x:f>IF(B26="","",LARGE(D26:W26,1)+LARGE(D26:W26,2)+LARGE(D26:W26,3)+LARGE(D26:W26,4))</x:f>
      </x:c>
      <x:c r="Z26" s="17" t="str">
        <x:f>IF(B26="","",X26-Y26)</x:f>
      </x:c>
      <x:c r="AA26" s="17" t="n">
        <x:f>IF(B26="",0,Y26*1000+(100-ROW()))</x:f>
        <x:v>0</x:v>
      </x:c>
    </x:row>
    <x:row r="27">
      <x:c r="A27" s="17" t="str">
        <x:f>IF(B27="","",1+COUNTIF($Y$6:$Y$55,"&gt;"&amp;Y27))</x:f>
      </x:c>
      <x:c r="B27" s="17" t="str">
        <x:f>IF(COUNTIF('Wyniki zawodów'!$F$6:$F$205,Zawodnicy!A27)=0,"",Zawodnicy!A27)</x:f>
      </x:c>
      <x:c r="C27" s="17" t="str">
        <x:f>IF(B27="","",COUNTIF('Wyniki zawodów'!$F$6:$F$205,B27))</x:f>
      </x:c>
      <x:c r="D27" s="28" t="n">
        <x:f>IF($B27="",0,SUMIFS('Wyniki zawodów'!$G$6:$G$205,'Wyniki zawodów'!$F$6:$F$205,$B27,'Wyniki zawodów'!$A$6:$A$205,D$4))</x:f>
        <x:v>0</x:v>
      </x:c>
      <x:c r="E27" s="28" t="n">
        <x:f>IF($B27="",0,SUMIFS('Wyniki zawodów'!$G$6:$G$205,'Wyniki zawodów'!$F$6:$F$205,$B27,'Wyniki zawodów'!$A$6:$A$205,E$4))</x:f>
        <x:v>0</x:v>
      </x:c>
      <x:c r="F27" s="28" t="n">
        <x:f>IF($B27="",0,SUMIFS('Wyniki zawodów'!$G$6:$G$205,'Wyniki zawodów'!$F$6:$F$205,$B27,'Wyniki zawodów'!$A$6:$A$205,F$4))</x:f>
        <x:v>0</x:v>
      </x:c>
      <x:c r="G27" s="28" t="n">
        <x:f>IF($B27="",0,SUMIFS('Wyniki zawodów'!$G$6:$G$205,'Wyniki zawodów'!$F$6:$F$205,$B27,'Wyniki zawodów'!$A$6:$A$205,G$4))</x:f>
        <x:v>0</x:v>
      </x:c>
      <x:c r="H27" s="28" t="n">
        <x:f>IF($B27="",0,SUMIFS('Wyniki zawodów'!$G$6:$G$205,'Wyniki zawodów'!$F$6:$F$205,$B27,'Wyniki zawodów'!$A$6:$A$205,H$4))</x:f>
        <x:v>0</x:v>
      </x:c>
      <x:c r="I27" s="28" t="n">
        <x:f>IF($B27="",0,SUMIFS('Wyniki zawodów'!$G$6:$G$205,'Wyniki zawodów'!$F$6:$F$205,$B27,'Wyniki zawodów'!$A$6:$A$205,I$4))</x:f>
        <x:v>0</x:v>
      </x:c>
      <x:c r="J27" s="28" t="n">
        <x:f>IF($B27="",0,SUMIFS('Wyniki zawodów'!$G$6:$G$205,'Wyniki zawodów'!$F$6:$F$205,$B27,'Wyniki zawodów'!$A$6:$A$205,J$4))</x:f>
        <x:v>0</x:v>
      </x:c>
      <x:c r="K27" s="28" t="n">
        <x:f>IF($B27="",0,SUMIFS('Wyniki zawodów'!$G$6:$G$205,'Wyniki zawodów'!$F$6:$F$205,$B27,'Wyniki zawodów'!$A$6:$A$205,K$4))</x:f>
        <x:v>0</x:v>
      </x:c>
      <x:c r="L27" s="28" t="n">
        <x:f>IF($B27="",0,SUMIFS('Wyniki zawodów'!$G$6:$G$205,'Wyniki zawodów'!$F$6:$F$205,$B27,'Wyniki zawodów'!$A$6:$A$205,L$4))</x:f>
        <x:v>0</x:v>
      </x:c>
      <x:c r="M27" s="28" t="n">
        <x:f>IF($B27="",0,SUMIFS('Wyniki zawodów'!$G$6:$G$205,'Wyniki zawodów'!$F$6:$F$205,$B27,'Wyniki zawodów'!$A$6:$A$205,M$4))</x:f>
        <x:v>0</x:v>
      </x:c>
      <x:c r="N27" s="28" t="n">
        <x:f>IF($B27="",0,SUMIFS('Wyniki zawodów'!$G$6:$G$205,'Wyniki zawodów'!$F$6:$F$205,$B27,'Wyniki zawodów'!$A$6:$A$205,N$4))</x:f>
        <x:v>0</x:v>
      </x:c>
      <x:c r="O27" s="28" t="n">
        <x:f>IF($B27="",0,SUMIFS('Wyniki zawodów'!$G$6:$G$205,'Wyniki zawodów'!$F$6:$F$205,$B27,'Wyniki zawodów'!$A$6:$A$205,O$4))</x:f>
        <x:v>0</x:v>
      </x:c>
      <x:c r="P27" s="28" t="n">
        <x:f>IF($B27="",0,SUMIFS('Wyniki zawodów'!$G$6:$G$205,'Wyniki zawodów'!$F$6:$F$205,$B27,'Wyniki zawodów'!$A$6:$A$205,P$4))</x:f>
        <x:v>0</x:v>
      </x:c>
      <x:c r="Q27" s="28" t="n">
        <x:f>IF($B27="",0,SUMIFS('Wyniki zawodów'!$G$6:$G$205,'Wyniki zawodów'!$F$6:$F$205,$B27,'Wyniki zawodów'!$A$6:$A$205,Q$4))</x:f>
        <x:v>0</x:v>
      </x:c>
      <x:c r="R27" s="28" t="n">
        <x:f>IF($B27="",0,SUMIFS('Wyniki zawodów'!$G$6:$G$205,'Wyniki zawodów'!$F$6:$F$205,$B27,'Wyniki zawodów'!$A$6:$A$205,R$4))</x:f>
        <x:v>0</x:v>
      </x:c>
      <x:c r="S27" s="28" t="n">
        <x:f>IF($B27="",0,SUMIFS('Wyniki zawodów'!$G$6:$G$205,'Wyniki zawodów'!$F$6:$F$205,$B27,'Wyniki zawodów'!$A$6:$A$205,S$4))</x:f>
        <x:v>0</x:v>
      </x:c>
      <x:c r="T27" s="28" t="n">
        <x:f>IF($B27="",0,SUMIFS('Wyniki zawodów'!$G$6:$G$205,'Wyniki zawodów'!$F$6:$F$205,$B27,'Wyniki zawodów'!$A$6:$A$205,T$4))</x:f>
        <x:v>0</x:v>
      </x:c>
      <x:c r="U27" s="28" t="n">
        <x:f>IF($B27="",0,SUMIFS('Wyniki zawodów'!$G$6:$G$205,'Wyniki zawodów'!$F$6:$F$205,$B27,'Wyniki zawodów'!$A$6:$A$205,U$4))</x:f>
        <x:v>0</x:v>
      </x:c>
      <x:c r="V27" s="28" t="n">
        <x:f>IF($B27="",0,SUMIFS('Wyniki zawodów'!$G$6:$G$205,'Wyniki zawodów'!$F$6:$F$205,$B27,'Wyniki zawodów'!$A$6:$A$205,V$4))</x:f>
        <x:v>0</x:v>
      </x:c>
      <x:c r="W27" s="28" t="n">
        <x:f>IF($B27="",0,SUMIFS('Wyniki zawodów'!$G$6:$G$205,'Wyniki zawodów'!$F$6:$F$205,$B27,'Wyniki zawodów'!$A$6:$A$205,W$4))</x:f>
        <x:v>0</x:v>
      </x:c>
      <x:c r="X27" s="17" t="str">
        <x:f>IF(B27="","",SUM(D27:W27))</x:f>
      </x:c>
      <x:c r="Y27" s="29" t="str">
        <x:f>IF(B27="","",LARGE(D27:W27,1)+LARGE(D27:W27,2)+LARGE(D27:W27,3)+LARGE(D27:W27,4))</x:f>
      </x:c>
      <x:c r="Z27" s="17" t="str">
        <x:f>IF(B27="","",X27-Y27)</x:f>
      </x:c>
      <x:c r="AA27" s="17" t="n">
        <x:f>IF(B27="",0,Y27*1000+(100-ROW()))</x:f>
        <x:v>0</x:v>
      </x:c>
    </x:row>
    <x:row r="28">
      <x:c r="A28" s="17" t="str">
        <x:f>IF(B28="","",1+COUNTIF($Y$6:$Y$55,"&gt;"&amp;Y28))</x:f>
      </x:c>
      <x:c r="B28" s="17" t="str">
        <x:f>IF(COUNTIF('Wyniki zawodów'!$F$6:$F$205,Zawodnicy!A28)=0,"",Zawodnicy!A28)</x:f>
      </x:c>
      <x:c r="C28" s="17" t="str">
        <x:f>IF(B28="","",COUNTIF('Wyniki zawodów'!$F$6:$F$205,B28))</x:f>
      </x:c>
      <x:c r="D28" s="28" t="n">
        <x:f>IF($B28="",0,SUMIFS('Wyniki zawodów'!$G$6:$G$205,'Wyniki zawodów'!$F$6:$F$205,$B28,'Wyniki zawodów'!$A$6:$A$205,D$4))</x:f>
        <x:v>0</x:v>
      </x:c>
      <x:c r="E28" s="28" t="n">
        <x:f>IF($B28="",0,SUMIFS('Wyniki zawodów'!$G$6:$G$205,'Wyniki zawodów'!$F$6:$F$205,$B28,'Wyniki zawodów'!$A$6:$A$205,E$4))</x:f>
        <x:v>0</x:v>
      </x:c>
      <x:c r="F28" s="28" t="n">
        <x:f>IF($B28="",0,SUMIFS('Wyniki zawodów'!$G$6:$G$205,'Wyniki zawodów'!$F$6:$F$205,$B28,'Wyniki zawodów'!$A$6:$A$205,F$4))</x:f>
        <x:v>0</x:v>
      </x:c>
      <x:c r="G28" s="28" t="n">
        <x:f>IF($B28="",0,SUMIFS('Wyniki zawodów'!$G$6:$G$205,'Wyniki zawodów'!$F$6:$F$205,$B28,'Wyniki zawodów'!$A$6:$A$205,G$4))</x:f>
        <x:v>0</x:v>
      </x:c>
      <x:c r="H28" s="28" t="n">
        <x:f>IF($B28="",0,SUMIFS('Wyniki zawodów'!$G$6:$G$205,'Wyniki zawodów'!$F$6:$F$205,$B28,'Wyniki zawodów'!$A$6:$A$205,H$4))</x:f>
        <x:v>0</x:v>
      </x:c>
      <x:c r="I28" s="28" t="n">
        <x:f>IF($B28="",0,SUMIFS('Wyniki zawodów'!$G$6:$G$205,'Wyniki zawodów'!$F$6:$F$205,$B28,'Wyniki zawodów'!$A$6:$A$205,I$4))</x:f>
        <x:v>0</x:v>
      </x:c>
      <x:c r="J28" s="28" t="n">
        <x:f>IF($B28="",0,SUMIFS('Wyniki zawodów'!$G$6:$G$205,'Wyniki zawodów'!$F$6:$F$205,$B28,'Wyniki zawodów'!$A$6:$A$205,J$4))</x:f>
        <x:v>0</x:v>
      </x:c>
      <x:c r="K28" s="28" t="n">
        <x:f>IF($B28="",0,SUMIFS('Wyniki zawodów'!$G$6:$G$205,'Wyniki zawodów'!$F$6:$F$205,$B28,'Wyniki zawodów'!$A$6:$A$205,K$4))</x:f>
        <x:v>0</x:v>
      </x:c>
      <x:c r="L28" s="28" t="n">
        <x:f>IF($B28="",0,SUMIFS('Wyniki zawodów'!$G$6:$G$205,'Wyniki zawodów'!$F$6:$F$205,$B28,'Wyniki zawodów'!$A$6:$A$205,L$4))</x:f>
        <x:v>0</x:v>
      </x:c>
      <x:c r="M28" s="28" t="n">
        <x:f>IF($B28="",0,SUMIFS('Wyniki zawodów'!$G$6:$G$205,'Wyniki zawodów'!$F$6:$F$205,$B28,'Wyniki zawodów'!$A$6:$A$205,M$4))</x:f>
        <x:v>0</x:v>
      </x:c>
      <x:c r="N28" s="28" t="n">
        <x:f>IF($B28="",0,SUMIFS('Wyniki zawodów'!$G$6:$G$205,'Wyniki zawodów'!$F$6:$F$205,$B28,'Wyniki zawodów'!$A$6:$A$205,N$4))</x:f>
        <x:v>0</x:v>
      </x:c>
      <x:c r="O28" s="28" t="n">
        <x:f>IF($B28="",0,SUMIFS('Wyniki zawodów'!$G$6:$G$205,'Wyniki zawodów'!$F$6:$F$205,$B28,'Wyniki zawodów'!$A$6:$A$205,O$4))</x:f>
        <x:v>0</x:v>
      </x:c>
      <x:c r="P28" s="28" t="n">
        <x:f>IF($B28="",0,SUMIFS('Wyniki zawodów'!$G$6:$G$205,'Wyniki zawodów'!$F$6:$F$205,$B28,'Wyniki zawodów'!$A$6:$A$205,P$4))</x:f>
        <x:v>0</x:v>
      </x:c>
      <x:c r="Q28" s="28" t="n">
        <x:f>IF($B28="",0,SUMIFS('Wyniki zawodów'!$G$6:$G$205,'Wyniki zawodów'!$F$6:$F$205,$B28,'Wyniki zawodów'!$A$6:$A$205,Q$4))</x:f>
        <x:v>0</x:v>
      </x:c>
      <x:c r="R28" s="28" t="n">
        <x:f>IF($B28="",0,SUMIFS('Wyniki zawodów'!$G$6:$G$205,'Wyniki zawodów'!$F$6:$F$205,$B28,'Wyniki zawodów'!$A$6:$A$205,R$4))</x:f>
        <x:v>0</x:v>
      </x:c>
      <x:c r="S28" s="28" t="n">
        <x:f>IF($B28="",0,SUMIFS('Wyniki zawodów'!$G$6:$G$205,'Wyniki zawodów'!$F$6:$F$205,$B28,'Wyniki zawodów'!$A$6:$A$205,S$4))</x:f>
        <x:v>0</x:v>
      </x:c>
      <x:c r="T28" s="28" t="n">
        <x:f>IF($B28="",0,SUMIFS('Wyniki zawodów'!$G$6:$G$205,'Wyniki zawodów'!$F$6:$F$205,$B28,'Wyniki zawodów'!$A$6:$A$205,T$4))</x:f>
        <x:v>0</x:v>
      </x:c>
      <x:c r="U28" s="28" t="n">
        <x:f>IF($B28="",0,SUMIFS('Wyniki zawodów'!$G$6:$G$205,'Wyniki zawodów'!$F$6:$F$205,$B28,'Wyniki zawodów'!$A$6:$A$205,U$4))</x:f>
        <x:v>0</x:v>
      </x:c>
      <x:c r="V28" s="28" t="n">
        <x:f>IF($B28="",0,SUMIFS('Wyniki zawodów'!$G$6:$G$205,'Wyniki zawodów'!$F$6:$F$205,$B28,'Wyniki zawodów'!$A$6:$A$205,V$4))</x:f>
        <x:v>0</x:v>
      </x:c>
      <x:c r="W28" s="28" t="n">
        <x:f>IF($B28="",0,SUMIFS('Wyniki zawodów'!$G$6:$G$205,'Wyniki zawodów'!$F$6:$F$205,$B28,'Wyniki zawodów'!$A$6:$A$205,W$4))</x:f>
        <x:v>0</x:v>
      </x:c>
      <x:c r="X28" s="17" t="str">
        <x:f>IF(B28="","",SUM(D28:W28))</x:f>
      </x:c>
      <x:c r="Y28" s="29" t="str">
        <x:f>IF(B28="","",LARGE(D28:W28,1)+LARGE(D28:W28,2)+LARGE(D28:W28,3)+LARGE(D28:W28,4))</x:f>
      </x:c>
      <x:c r="Z28" s="17" t="str">
        <x:f>IF(B28="","",X28-Y28)</x:f>
      </x:c>
      <x:c r="AA28" s="17" t="n">
        <x:f>IF(B28="",0,Y28*1000+(100-ROW()))</x:f>
        <x:v>0</x:v>
      </x:c>
    </x:row>
    <x:row r="29">
      <x:c r="A29" s="17" t="str">
        <x:f>IF(B29="","",1+COUNTIF($Y$6:$Y$55,"&gt;"&amp;Y29))</x:f>
      </x:c>
      <x:c r="B29" s="17" t="str">
        <x:f>IF(COUNTIF('Wyniki zawodów'!$F$6:$F$205,Zawodnicy!A29)=0,"",Zawodnicy!A29)</x:f>
      </x:c>
      <x:c r="C29" s="17" t="str">
        <x:f>IF(B29="","",COUNTIF('Wyniki zawodów'!$F$6:$F$205,B29))</x:f>
      </x:c>
      <x:c r="D29" s="28" t="n">
        <x:f>IF($B29="",0,SUMIFS('Wyniki zawodów'!$G$6:$G$205,'Wyniki zawodów'!$F$6:$F$205,$B29,'Wyniki zawodów'!$A$6:$A$205,D$4))</x:f>
        <x:v>0</x:v>
      </x:c>
      <x:c r="E29" s="28" t="n">
        <x:f>IF($B29="",0,SUMIFS('Wyniki zawodów'!$G$6:$G$205,'Wyniki zawodów'!$F$6:$F$205,$B29,'Wyniki zawodów'!$A$6:$A$205,E$4))</x:f>
        <x:v>0</x:v>
      </x:c>
      <x:c r="F29" s="28" t="n">
        <x:f>IF($B29="",0,SUMIFS('Wyniki zawodów'!$G$6:$G$205,'Wyniki zawodów'!$F$6:$F$205,$B29,'Wyniki zawodów'!$A$6:$A$205,F$4))</x:f>
        <x:v>0</x:v>
      </x:c>
      <x:c r="G29" s="28" t="n">
        <x:f>IF($B29="",0,SUMIFS('Wyniki zawodów'!$G$6:$G$205,'Wyniki zawodów'!$F$6:$F$205,$B29,'Wyniki zawodów'!$A$6:$A$205,G$4))</x:f>
        <x:v>0</x:v>
      </x:c>
      <x:c r="H29" s="28" t="n">
        <x:f>IF($B29="",0,SUMIFS('Wyniki zawodów'!$G$6:$G$205,'Wyniki zawodów'!$F$6:$F$205,$B29,'Wyniki zawodów'!$A$6:$A$205,H$4))</x:f>
        <x:v>0</x:v>
      </x:c>
      <x:c r="I29" s="28" t="n">
        <x:f>IF($B29="",0,SUMIFS('Wyniki zawodów'!$G$6:$G$205,'Wyniki zawodów'!$F$6:$F$205,$B29,'Wyniki zawodów'!$A$6:$A$205,I$4))</x:f>
        <x:v>0</x:v>
      </x:c>
      <x:c r="J29" s="28" t="n">
        <x:f>IF($B29="",0,SUMIFS('Wyniki zawodów'!$G$6:$G$205,'Wyniki zawodów'!$F$6:$F$205,$B29,'Wyniki zawodów'!$A$6:$A$205,J$4))</x:f>
        <x:v>0</x:v>
      </x:c>
      <x:c r="K29" s="28" t="n">
        <x:f>IF($B29="",0,SUMIFS('Wyniki zawodów'!$G$6:$G$205,'Wyniki zawodów'!$F$6:$F$205,$B29,'Wyniki zawodów'!$A$6:$A$205,K$4))</x:f>
        <x:v>0</x:v>
      </x:c>
      <x:c r="L29" s="28" t="n">
        <x:f>IF($B29="",0,SUMIFS('Wyniki zawodów'!$G$6:$G$205,'Wyniki zawodów'!$F$6:$F$205,$B29,'Wyniki zawodów'!$A$6:$A$205,L$4))</x:f>
        <x:v>0</x:v>
      </x:c>
      <x:c r="M29" s="28" t="n">
        <x:f>IF($B29="",0,SUMIFS('Wyniki zawodów'!$G$6:$G$205,'Wyniki zawodów'!$F$6:$F$205,$B29,'Wyniki zawodów'!$A$6:$A$205,M$4))</x:f>
        <x:v>0</x:v>
      </x:c>
      <x:c r="N29" s="28" t="n">
        <x:f>IF($B29="",0,SUMIFS('Wyniki zawodów'!$G$6:$G$205,'Wyniki zawodów'!$F$6:$F$205,$B29,'Wyniki zawodów'!$A$6:$A$205,N$4))</x:f>
        <x:v>0</x:v>
      </x:c>
      <x:c r="O29" s="28" t="n">
        <x:f>IF($B29="",0,SUMIFS('Wyniki zawodów'!$G$6:$G$205,'Wyniki zawodów'!$F$6:$F$205,$B29,'Wyniki zawodów'!$A$6:$A$205,O$4))</x:f>
        <x:v>0</x:v>
      </x:c>
      <x:c r="P29" s="28" t="n">
        <x:f>IF($B29="",0,SUMIFS('Wyniki zawodów'!$G$6:$G$205,'Wyniki zawodów'!$F$6:$F$205,$B29,'Wyniki zawodów'!$A$6:$A$205,P$4))</x:f>
        <x:v>0</x:v>
      </x:c>
      <x:c r="Q29" s="28" t="n">
        <x:f>IF($B29="",0,SUMIFS('Wyniki zawodów'!$G$6:$G$205,'Wyniki zawodów'!$F$6:$F$205,$B29,'Wyniki zawodów'!$A$6:$A$205,Q$4))</x:f>
        <x:v>0</x:v>
      </x:c>
      <x:c r="R29" s="28" t="n">
        <x:f>IF($B29="",0,SUMIFS('Wyniki zawodów'!$G$6:$G$205,'Wyniki zawodów'!$F$6:$F$205,$B29,'Wyniki zawodów'!$A$6:$A$205,R$4))</x:f>
        <x:v>0</x:v>
      </x:c>
      <x:c r="S29" s="28" t="n">
        <x:f>IF($B29="",0,SUMIFS('Wyniki zawodów'!$G$6:$G$205,'Wyniki zawodów'!$F$6:$F$205,$B29,'Wyniki zawodów'!$A$6:$A$205,S$4))</x:f>
        <x:v>0</x:v>
      </x:c>
      <x:c r="T29" s="28" t="n">
        <x:f>IF($B29="",0,SUMIFS('Wyniki zawodów'!$G$6:$G$205,'Wyniki zawodów'!$F$6:$F$205,$B29,'Wyniki zawodów'!$A$6:$A$205,T$4))</x:f>
        <x:v>0</x:v>
      </x:c>
      <x:c r="U29" s="28" t="n">
        <x:f>IF($B29="",0,SUMIFS('Wyniki zawodów'!$G$6:$G$205,'Wyniki zawodów'!$F$6:$F$205,$B29,'Wyniki zawodów'!$A$6:$A$205,U$4))</x:f>
        <x:v>0</x:v>
      </x:c>
      <x:c r="V29" s="28" t="n">
        <x:f>IF($B29="",0,SUMIFS('Wyniki zawodów'!$G$6:$G$205,'Wyniki zawodów'!$F$6:$F$205,$B29,'Wyniki zawodów'!$A$6:$A$205,V$4))</x:f>
        <x:v>0</x:v>
      </x:c>
      <x:c r="W29" s="28" t="n">
        <x:f>IF($B29="",0,SUMIFS('Wyniki zawodów'!$G$6:$G$205,'Wyniki zawodów'!$F$6:$F$205,$B29,'Wyniki zawodów'!$A$6:$A$205,W$4))</x:f>
        <x:v>0</x:v>
      </x:c>
      <x:c r="X29" s="17" t="str">
        <x:f>IF(B29="","",SUM(D29:W29))</x:f>
      </x:c>
      <x:c r="Y29" s="29" t="str">
        <x:f>IF(B29="","",LARGE(D29:W29,1)+LARGE(D29:W29,2)+LARGE(D29:W29,3)+LARGE(D29:W29,4))</x:f>
      </x:c>
      <x:c r="Z29" s="17" t="str">
        <x:f>IF(B29="","",X29-Y29)</x:f>
      </x:c>
      <x:c r="AA29" s="17" t="n">
        <x:f>IF(B29="",0,Y29*1000+(100-ROW()))</x:f>
        <x:v>0</x:v>
      </x:c>
    </x:row>
    <x:row r="30">
      <x:c r="A30" s="17" t="str">
        <x:f>IF(B30="","",1+COUNTIF($Y$6:$Y$55,"&gt;"&amp;Y30))</x:f>
      </x:c>
      <x:c r="B30" s="17" t="str">
        <x:f>IF(COUNTIF('Wyniki zawodów'!$F$6:$F$205,Zawodnicy!A30)=0,"",Zawodnicy!A30)</x:f>
      </x:c>
      <x:c r="C30" s="17" t="str">
        <x:f>IF(B30="","",COUNTIF('Wyniki zawodów'!$F$6:$F$205,B30))</x:f>
      </x:c>
      <x:c r="D30" s="28" t="n">
        <x:f>IF($B30="",0,SUMIFS('Wyniki zawodów'!$G$6:$G$205,'Wyniki zawodów'!$F$6:$F$205,$B30,'Wyniki zawodów'!$A$6:$A$205,D$4))</x:f>
        <x:v>0</x:v>
      </x:c>
      <x:c r="E30" s="28" t="n">
        <x:f>IF($B30="",0,SUMIFS('Wyniki zawodów'!$G$6:$G$205,'Wyniki zawodów'!$F$6:$F$205,$B30,'Wyniki zawodów'!$A$6:$A$205,E$4))</x:f>
        <x:v>0</x:v>
      </x:c>
      <x:c r="F30" s="28" t="n">
        <x:f>IF($B30="",0,SUMIFS('Wyniki zawodów'!$G$6:$G$205,'Wyniki zawodów'!$F$6:$F$205,$B30,'Wyniki zawodów'!$A$6:$A$205,F$4))</x:f>
        <x:v>0</x:v>
      </x:c>
      <x:c r="G30" s="28" t="n">
        <x:f>IF($B30="",0,SUMIFS('Wyniki zawodów'!$G$6:$G$205,'Wyniki zawodów'!$F$6:$F$205,$B30,'Wyniki zawodów'!$A$6:$A$205,G$4))</x:f>
        <x:v>0</x:v>
      </x:c>
      <x:c r="H30" s="28" t="n">
        <x:f>IF($B30="",0,SUMIFS('Wyniki zawodów'!$G$6:$G$205,'Wyniki zawodów'!$F$6:$F$205,$B30,'Wyniki zawodów'!$A$6:$A$205,H$4))</x:f>
        <x:v>0</x:v>
      </x:c>
      <x:c r="I30" s="28" t="n">
        <x:f>IF($B30="",0,SUMIFS('Wyniki zawodów'!$G$6:$G$205,'Wyniki zawodów'!$F$6:$F$205,$B30,'Wyniki zawodów'!$A$6:$A$205,I$4))</x:f>
        <x:v>0</x:v>
      </x:c>
      <x:c r="J30" s="28" t="n">
        <x:f>IF($B30="",0,SUMIFS('Wyniki zawodów'!$G$6:$G$205,'Wyniki zawodów'!$F$6:$F$205,$B30,'Wyniki zawodów'!$A$6:$A$205,J$4))</x:f>
        <x:v>0</x:v>
      </x:c>
      <x:c r="K30" s="28" t="n">
        <x:f>IF($B30="",0,SUMIFS('Wyniki zawodów'!$G$6:$G$205,'Wyniki zawodów'!$F$6:$F$205,$B30,'Wyniki zawodów'!$A$6:$A$205,K$4))</x:f>
        <x:v>0</x:v>
      </x:c>
      <x:c r="L30" s="28" t="n">
        <x:f>IF($B30="",0,SUMIFS('Wyniki zawodów'!$G$6:$G$205,'Wyniki zawodów'!$F$6:$F$205,$B30,'Wyniki zawodów'!$A$6:$A$205,L$4))</x:f>
        <x:v>0</x:v>
      </x:c>
      <x:c r="M30" s="28" t="n">
        <x:f>IF($B30="",0,SUMIFS('Wyniki zawodów'!$G$6:$G$205,'Wyniki zawodów'!$F$6:$F$205,$B30,'Wyniki zawodów'!$A$6:$A$205,M$4))</x:f>
        <x:v>0</x:v>
      </x:c>
      <x:c r="N30" s="28" t="n">
        <x:f>IF($B30="",0,SUMIFS('Wyniki zawodów'!$G$6:$G$205,'Wyniki zawodów'!$F$6:$F$205,$B30,'Wyniki zawodów'!$A$6:$A$205,N$4))</x:f>
        <x:v>0</x:v>
      </x:c>
      <x:c r="O30" s="28" t="n">
        <x:f>IF($B30="",0,SUMIFS('Wyniki zawodów'!$G$6:$G$205,'Wyniki zawodów'!$F$6:$F$205,$B30,'Wyniki zawodów'!$A$6:$A$205,O$4))</x:f>
        <x:v>0</x:v>
      </x:c>
      <x:c r="P30" s="28" t="n">
        <x:f>IF($B30="",0,SUMIFS('Wyniki zawodów'!$G$6:$G$205,'Wyniki zawodów'!$F$6:$F$205,$B30,'Wyniki zawodów'!$A$6:$A$205,P$4))</x:f>
        <x:v>0</x:v>
      </x:c>
      <x:c r="Q30" s="28" t="n">
        <x:f>IF($B30="",0,SUMIFS('Wyniki zawodów'!$G$6:$G$205,'Wyniki zawodów'!$F$6:$F$205,$B30,'Wyniki zawodów'!$A$6:$A$205,Q$4))</x:f>
        <x:v>0</x:v>
      </x:c>
      <x:c r="R30" s="28" t="n">
        <x:f>IF($B30="",0,SUMIFS('Wyniki zawodów'!$G$6:$G$205,'Wyniki zawodów'!$F$6:$F$205,$B30,'Wyniki zawodów'!$A$6:$A$205,R$4))</x:f>
        <x:v>0</x:v>
      </x:c>
      <x:c r="S30" s="28" t="n">
        <x:f>IF($B30="",0,SUMIFS('Wyniki zawodów'!$G$6:$G$205,'Wyniki zawodów'!$F$6:$F$205,$B30,'Wyniki zawodów'!$A$6:$A$205,S$4))</x:f>
        <x:v>0</x:v>
      </x:c>
      <x:c r="T30" s="28" t="n">
        <x:f>IF($B30="",0,SUMIFS('Wyniki zawodów'!$G$6:$G$205,'Wyniki zawodów'!$F$6:$F$205,$B30,'Wyniki zawodów'!$A$6:$A$205,T$4))</x:f>
        <x:v>0</x:v>
      </x:c>
      <x:c r="U30" s="28" t="n">
        <x:f>IF($B30="",0,SUMIFS('Wyniki zawodów'!$G$6:$G$205,'Wyniki zawodów'!$F$6:$F$205,$B30,'Wyniki zawodów'!$A$6:$A$205,U$4))</x:f>
        <x:v>0</x:v>
      </x:c>
      <x:c r="V30" s="28" t="n">
        <x:f>IF($B30="",0,SUMIFS('Wyniki zawodów'!$G$6:$G$205,'Wyniki zawodów'!$F$6:$F$205,$B30,'Wyniki zawodów'!$A$6:$A$205,V$4))</x:f>
        <x:v>0</x:v>
      </x:c>
      <x:c r="W30" s="28" t="n">
        <x:f>IF($B30="",0,SUMIFS('Wyniki zawodów'!$G$6:$G$205,'Wyniki zawodów'!$F$6:$F$205,$B30,'Wyniki zawodów'!$A$6:$A$205,W$4))</x:f>
        <x:v>0</x:v>
      </x:c>
      <x:c r="X30" s="17" t="str">
        <x:f>IF(B30="","",SUM(D30:W30))</x:f>
      </x:c>
      <x:c r="Y30" s="29" t="str">
        <x:f>IF(B30="","",LARGE(D30:W30,1)+LARGE(D30:W30,2)+LARGE(D30:W30,3)+LARGE(D30:W30,4))</x:f>
      </x:c>
      <x:c r="Z30" s="17" t="str">
        <x:f>IF(B30="","",X30-Y30)</x:f>
      </x:c>
      <x:c r="AA30" s="17" t="n">
        <x:f>IF(B30="",0,Y30*1000+(100-ROW()))</x:f>
        <x:v>0</x:v>
      </x:c>
    </x:row>
    <x:row r="31">
      <x:c r="A31" s="17" t="str">
        <x:f>IF(B31="","",1+COUNTIF($Y$6:$Y$55,"&gt;"&amp;Y31))</x:f>
      </x:c>
      <x:c r="B31" s="17" t="str">
        <x:f>IF(COUNTIF('Wyniki zawodów'!$F$6:$F$205,Zawodnicy!A31)=0,"",Zawodnicy!A31)</x:f>
      </x:c>
      <x:c r="C31" s="17" t="str">
        <x:f>IF(B31="","",COUNTIF('Wyniki zawodów'!$F$6:$F$205,B31))</x:f>
      </x:c>
      <x:c r="D31" s="28" t="n">
        <x:f>IF($B31="",0,SUMIFS('Wyniki zawodów'!$G$6:$G$205,'Wyniki zawodów'!$F$6:$F$205,$B31,'Wyniki zawodów'!$A$6:$A$205,D$4))</x:f>
        <x:v>0</x:v>
      </x:c>
      <x:c r="E31" s="28" t="n">
        <x:f>IF($B31="",0,SUMIFS('Wyniki zawodów'!$G$6:$G$205,'Wyniki zawodów'!$F$6:$F$205,$B31,'Wyniki zawodów'!$A$6:$A$205,E$4))</x:f>
        <x:v>0</x:v>
      </x:c>
      <x:c r="F31" s="28" t="n">
        <x:f>IF($B31="",0,SUMIFS('Wyniki zawodów'!$G$6:$G$205,'Wyniki zawodów'!$F$6:$F$205,$B31,'Wyniki zawodów'!$A$6:$A$205,F$4))</x:f>
        <x:v>0</x:v>
      </x:c>
      <x:c r="G31" s="28" t="n">
        <x:f>IF($B31="",0,SUMIFS('Wyniki zawodów'!$G$6:$G$205,'Wyniki zawodów'!$F$6:$F$205,$B31,'Wyniki zawodów'!$A$6:$A$205,G$4))</x:f>
        <x:v>0</x:v>
      </x:c>
      <x:c r="H31" s="28" t="n">
        <x:f>IF($B31="",0,SUMIFS('Wyniki zawodów'!$G$6:$G$205,'Wyniki zawodów'!$F$6:$F$205,$B31,'Wyniki zawodów'!$A$6:$A$205,H$4))</x:f>
        <x:v>0</x:v>
      </x:c>
      <x:c r="I31" s="28" t="n">
        <x:f>IF($B31="",0,SUMIFS('Wyniki zawodów'!$G$6:$G$205,'Wyniki zawodów'!$F$6:$F$205,$B31,'Wyniki zawodów'!$A$6:$A$205,I$4))</x:f>
        <x:v>0</x:v>
      </x:c>
      <x:c r="J31" s="28" t="n">
        <x:f>IF($B31="",0,SUMIFS('Wyniki zawodów'!$G$6:$G$205,'Wyniki zawodów'!$F$6:$F$205,$B31,'Wyniki zawodów'!$A$6:$A$205,J$4))</x:f>
        <x:v>0</x:v>
      </x:c>
      <x:c r="K31" s="28" t="n">
        <x:f>IF($B31="",0,SUMIFS('Wyniki zawodów'!$G$6:$G$205,'Wyniki zawodów'!$F$6:$F$205,$B31,'Wyniki zawodów'!$A$6:$A$205,K$4))</x:f>
        <x:v>0</x:v>
      </x:c>
      <x:c r="L31" s="28" t="n">
        <x:f>IF($B31="",0,SUMIFS('Wyniki zawodów'!$G$6:$G$205,'Wyniki zawodów'!$F$6:$F$205,$B31,'Wyniki zawodów'!$A$6:$A$205,L$4))</x:f>
        <x:v>0</x:v>
      </x:c>
      <x:c r="M31" s="28" t="n">
        <x:f>IF($B31="",0,SUMIFS('Wyniki zawodów'!$G$6:$G$205,'Wyniki zawodów'!$F$6:$F$205,$B31,'Wyniki zawodów'!$A$6:$A$205,M$4))</x:f>
        <x:v>0</x:v>
      </x:c>
      <x:c r="N31" s="28" t="n">
        <x:f>IF($B31="",0,SUMIFS('Wyniki zawodów'!$G$6:$G$205,'Wyniki zawodów'!$F$6:$F$205,$B31,'Wyniki zawodów'!$A$6:$A$205,N$4))</x:f>
        <x:v>0</x:v>
      </x:c>
      <x:c r="O31" s="28" t="n">
        <x:f>IF($B31="",0,SUMIFS('Wyniki zawodów'!$G$6:$G$205,'Wyniki zawodów'!$F$6:$F$205,$B31,'Wyniki zawodów'!$A$6:$A$205,O$4))</x:f>
        <x:v>0</x:v>
      </x:c>
      <x:c r="P31" s="28" t="n">
        <x:f>IF($B31="",0,SUMIFS('Wyniki zawodów'!$G$6:$G$205,'Wyniki zawodów'!$F$6:$F$205,$B31,'Wyniki zawodów'!$A$6:$A$205,P$4))</x:f>
        <x:v>0</x:v>
      </x:c>
      <x:c r="Q31" s="28" t="n">
        <x:f>IF($B31="",0,SUMIFS('Wyniki zawodów'!$G$6:$G$205,'Wyniki zawodów'!$F$6:$F$205,$B31,'Wyniki zawodów'!$A$6:$A$205,Q$4))</x:f>
        <x:v>0</x:v>
      </x:c>
      <x:c r="R31" s="28" t="n">
        <x:f>IF($B31="",0,SUMIFS('Wyniki zawodów'!$G$6:$G$205,'Wyniki zawodów'!$F$6:$F$205,$B31,'Wyniki zawodów'!$A$6:$A$205,R$4))</x:f>
        <x:v>0</x:v>
      </x:c>
      <x:c r="S31" s="28" t="n">
        <x:f>IF($B31="",0,SUMIFS('Wyniki zawodów'!$G$6:$G$205,'Wyniki zawodów'!$F$6:$F$205,$B31,'Wyniki zawodów'!$A$6:$A$205,S$4))</x:f>
        <x:v>0</x:v>
      </x:c>
      <x:c r="T31" s="28" t="n">
        <x:f>IF($B31="",0,SUMIFS('Wyniki zawodów'!$G$6:$G$205,'Wyniki zawodów'!$F$6:$F$205,$B31,'Wyniki zawodów'!$A$6:$A$205,T$4))</x:f>
        <x:v>0</x:v>
      </x:c>
      <x:c r="U31" s="28" t="n">
        <x:f>IF($B31="",0,SUMIFS('Wyniki zawodów'!$G$6:$G$205,'Wyniki zawodów'!$F$6:$F$205,$B31,'Wyniki zawodów'!$A$6:$A$205,U$4))</x:f>
        <x:v>0</x:v>
      </x:c>
      <x:c r="V31" s="28" t="n">
        <x:f>IF($B31="",0,SUMIFS('Wyniki zawodów'!$G$6:$G$205,'Wyniki zawodów'!$F$6:$F$205,$B31,'Wyniki zawodów'!$A$6:$A$205,V$4))</x:f>
        <x:v>0</x:v>
      </x:c>
      <x:c r="W31" s="28" t="n">
        <x:f>IF($B31="",0,SUMIFS('Wyniki zawodów'!$G$6:$G$205,'Wyniki zawodów'!$F$6:$F$205,$B31,'Wyniki zawodów'!$A$6:$A$205,W$4))</x:f>
        <x:v>0</x:v>
      </x:c>
      <x:c r="X31" s="17" t="str">
        <x:f>IF(B31="","",SUM(D31:W31))</x:f>
      </x:c>
      <x:c r="Y31" s="29" t="str">
        <x:f>IF(B31="","",LARGE(D31:W31,1)+LARGE(D31:W31,2)+LARGE(D31:W31,3)+LARGE(D31:W31,4))</x:f>
      </x:c>
      <x:c r="Z31" s="17" t="str">
        <x:f>IF(B31="","",X31-Y31)</x:f>
      </x:c>
      <x:c r="AA31" s="17" t="n">
        <x:f>IF(B31="",0,Y31*1000+(100-ROW()))</x:f>
        <x:v>0</x:v>
      </x:c>
    </x:row>
    <x:row r="32">
      <x:c r="A32" s="17" t="str">
        <x:f>IF(B32="","",1+COUNTIF($Y$6:$Y$55,"&gt;"&amp;Y32))</x:f>
      </x:c>
      <x:c r="B32" s="17" t="str">
        <x:f>IF(COUNTIF('Wyniki zawodów'!$F$6:$F$205,Zawodnicy!A32)=0,"",Zawodnicy!A32)</x:f>
      </x:c>
      <x:c r="C32" s="17" t="str">
        <x:f>IF(B32="","",COUNTIF('Wyniki zawodów'!$F$6:$F$205,B32))</x:f>
      </x:c>
      <x:c r="D32" s="28" t="n">
        <x:f>IF($B32="",0,SUMIFS('Wyniki zawodów'!$G$6:$G$205,'Wyniki zawodów'!$F$6:$F$205,$B32,'Wyniki zawodów'!$A$6:$A$205,D$4))</x:f>
        <x:v>0</x:v>
      </x:c>
      <x:c r="E32" s="28" t="n">
        <x:f>IF($B32="",0,SUMIFS('Wyniki zawodów'!$G$6:$G$205,'Wyniki zawodów'!$F$6:$F$205,$B32,'Wyniki zawodów'!$A$6:$A$205,E$4))</x:f>
        <x:v>0</x:v>
      </x:c>
      <x:c r="F32" s="28" t="n">
        <x:f>IF($B32="",0,SUMIFS('Wyniki zawodów'!$G$6:$G$205,'Wyniki zawodów'!$F$6:$F$205,$B32,'Wyniki zawodów'!$A$6:$A$205,F$4))</x:f>
        <x:v>0</x:v>
      </x:c>
      <x:c r="G32" s="28" t="n">
        <x:f>IF($B32="",0,SUMIFS('Wyniki zawodów'!$G$6:$G$205,'Wyniki zawodów'!$F$6:$F$205,$B32,'Wyniki zawodów'!$A$6:$A$205,G$4))</x:f>
        <x:v>0</x:v>
      </x:c>
      <x:c r="H32" s="28" t="n">
        <x:f>IF($B32="",0,SUMIFS('Wyniki zawodów'!$G$6:$G$205,'Wyniki zawodów'!$F$6:$F$205,$B32,'Wyniki zawodów'!$A$6:$A$205,H$4))</x:f>
        <x:v>0</x:v>
      </x:c>
      <x:c r="I32" s="28" t="n">
        <x:f>IF($B32="",0,SUMIFS('Wyniki zawodów'!$G$6:$G$205,'Wyniki zawodów'!$F$6:$F$205,$B32,'Wyniki zawodów'!$A$6:$A$205,I$4))</x:f>
        <x:v>0</x:v>
      </x:c>
      <x:c r="J32" s="28" t="n">
        <x:f>IF($B32="",0,SUMIFS('Wyniki zawodów'!$G$6:$G$205,'Wyniki zawodów'!$F$6:$F$205,$B32,'Wyniki zawodów'!$A$6:$A$205,J$4))</x:f>
        <x:v>0</x:v>
      </x:c>
      <x:c r="K32" s="28" t="n">
        <x:f>IF($B32="",0,SUMIFS('Wyniki zawodów'!$G$6:$G$205,'Wyniki zawodów'!$F$6:$F$205,$B32,'Wyniki zawodów'!$A$6:$A$205,K$4))</x:f>
        <x:v>0</x:v>
      </x:c>
      <x:c r="L32" s="28" t="n">
        <x:f>IF($B32="",0,SUMIFS('Wyniki zawodów'!$G$6:$G$205,'Wyniki zawodów'!$F$6:$F$205,$B32,'Wyniki zawodów'!$A$6:$A$205,L$4))</x:f>
        <x:v>0</x:v>
      </x:c>
      <x:c r="M32" s="28" t="n">
        <x:f>IF($B32="",0,SUMIFS('Wyniki zawodów'!$G$6:$G$205,'Wyniki zawodów'!$F$6:$F$205,$B32,'Wyniki zawodów'!$A$6:$A$205,M$4))</x:f>
        <x:v>0</x:v>
      </x:c>
      <x:c r="N32" s="28" t="n">
        <x:f>IF($B32="",0,SUMIFS('Wyniki zawodów'!$G$6:$G$205,'Wyniki zawodów'!$F$6:$F$205,$B32,'Wyniki zawodów'!$A$6:$A$205,N$4))</x:f>
        <x:v>0</x:v>
      </x:c>
      <x:c r="O32" s="28" t="n">
        <x:f>IF($B32="",0,SUMIFS('Wyniki zawodów'!$G$6:$G$205,'Wyniki zawodów'!$F$6:$F$205,$B32,'Wyniki zawodów'!$A$6:$A$205,O$4))</x:f>
        <x:v>0</x:v>
      </x:c>
      <x:c r="P32" s="28" t="n">
        <x:f>IF($B32="",0,SUMIFS('Wyniki zawodów'!$G$6:$G$205,'Wyniki zawodów'!$F$6:$F$205,$B32,'Wyniki zawodów'!$A$6:$A$205,P$4))</x:f>
        <x:v>0</x:v>
      </x:c>
      <x:c r="Q32" s="28" t="n">
        <x:f>IF($B32="",0,SUMIFS('Wyniki zawodów'!$G$6:$G$205,'Wyniki zawodów'!$F$6:$F$205,$B32,'Wyniki zawodów'!$A$6:$A$205,Q$4))</x:f>
        <x:v>0</x:v>
      </x:c>
      <x:c r="R32" s="28" t="n">
        <x:f>IF($B32="",0,SUMIFS('Wyniki zawodów'!$G$6:$G$205,'Wyniki zawodów'!$F$6:$F$205,$B32,'Wyniki zawodów'!$A$6:$A$205,R$4))</x:f>
        <x:v>0</x:v>
      </x:c>
      <x:c r="S32" s="28" t="n">
        <x:f>IF($B32="",0,SUMIFS('Wyniki zawodów'!$G$6:$G$205,'Wyniki zawodów'!$F$6:$F$205,$B32,'Wyniki zawodów'!$A$6:$A$205,S$4))</x:f>
        <x:v>0</x:v>
      </x:c>
      <x:c r="T32" s="28" t="n">
        <x:f>IF($B32="",0,SUMIFS('Wyniki zawodów'!$G$6:$G$205,'Wyniki zawodów'!$F$6:$F$205,$B32,'Wyniki zawodów'!$A$6:$A$205,T$4))</x:f>
        <x:v>0</x:v>
      </x:c>
      <x:c r="U32" s="28" t="n">
        <x:f>IF($B32="",0,SUMIFS('Wyniki zawodów'!$G$6:$G$205,'Wyniki zawodów'!$F$6:$F$205,$B32,'Wyniki zawodów'!$A$6:$A$205,U$4))</x:f>
        <x:v>0</x:v>
      </x:c>
      <x:c r="V32" s="28" t="n">
        <x:f>IF($B32="",0,SUMIFS('Wyniki zawodów'!$G$6:$G$205,'Wyniki zawodów'!$F$6:$F$205,$B32,'Wyniki zawodów'!$A$6:$A$205,V$4))</x:f>
        <x:v>0</x:v>
      </x:c>
      <x:c r="W32" s="28" t="n">
        <x:f>IF($B32="",0,SUMIFS('Wyniki zawodów'!$G$6:$G$205,'Wyniki zawodów'!$F$6:$F$205,$B32,'Wyniki zawodów'!$A$6:$A$205,W$4))</x:f>
        <x:v>0</x:v>
      </x:c>
      <x:c r="X32" s="17" t="str">
        <x:f>IF(B32="","",SUM(D32:W32))</x:f>
      </x:c>
      <x:c r="Y32" s="29" t="str">
        <x:f>IF(B32="","",LARGE(D32:W32,1)+LARGE(D32:W32,2)+LARGE(D32:W32,3)+LARGE(D32:W32,4))</x:f>
      </x:c>
      <x:c r="Z32" s="17" t="str">
        <x:f>IF(B32="","",X32-Y32)</x:f>
      </x:c>
      <x:c r="AA32" s="17" t="n">
        <x:f>IF(B32="",0,Y32*1000+(100-ROW()))</x:f>
        <x:v>0</x:v>
      </x:c>
    </x:row>
    <x:row r="33">
      <x:c r="A33" s="17" t="str">
        <x:f>IF(B33="","",1+COUNTIF($Y$6:$Y$55,"&gt;"&amp;Y33))</x:f>
      </x:c>
      <x:c r="B33" s="17" t="str">
        <x:f>IF(COUNTIF('Wyniki zawodów'!$F$6:$F$205,Zawodnicy!A33)=0,"",Zawodnicy!A33)</x:f>
      </x:c>
      <x:c r="C33" s="17" t="str">
        <x:f>IF(B33="","",COUNTIF('Wyniki zawodów'!$F$6:$F$205,B33))</x:f>
      </x:c>
      <x:c r="D33" s="28" t="n">
        <x:f>IF($B33="",0,SUMIFS('Wyniki zawodów'!$G$6:$G$205,'Wyniki zawodów'!$F$6:$F$205,$B33,'Wyniki zawodów'!$A$6:$A$205,D$4))</x:f>
        <x:v>0</x:v>
      </x:c>
      <x:c r="E33" s="28" t="n">
        <x:f>IF($B33="",0,SUMIFS('Wyniki zawodów'!$G$6:$G$205,'Wyniki zawodów'!$F$6:$F$205,$B33,'Wyniki zawodów'!$A$6:$A$205,E$4))</x:f>
        <x:v>0</x:v>
      </x:c>
      <x:c r="F33" s="28" t="n">
        <x:f>IF($B33="",0,SUMIFS('Wyniki zawodów'!$G$6:$G$205,'Wyniki zawodów'!$F$6:$F$205,$B33,'Wyniki zawodów'!$A$6:$A$205,F$4))</x:f>
        <x:v>0</x:v>
      </x:c>
      <x:c r="G33" s="28" t="n">
        <x:f>IF($B33="",0,SUMIFS('Wyniki zawodów'!$G$6:$G$205,'Wyniki zawodów'!$F$6:$F$205,$B33,'Wyniki zawodów'!$A$6:$A$205,G$4))</x:f>
        <x:v>0</x:v>
      </x:c>
      <x:c r="H33" s="28" t="n">
        <x:f>IF($B33="",0,SUMIFS('Wyniki zawodów'!$G$6:$G$205,'Wyniki zawodów'!$F$6:$F$205,$B33,'Wyniki zawodów'!$A$6:$A$205,H$4))</x:f>
        <x:v>0</x:v>
      </x:c>
      <x:c r="I33" s="28" t="n">
        <x:f>IF($B33="",0,SUMIFS('Wyniki zawodów'!$G$6:$G$205,'Wyniki zawodów'!$F$6:$F$205,$B33,'Wyniki zawodów'!$A$6:$A$205,I$4))</x:f>
        <x:v>0</x:v>
      </x:c>
      <x:c r="J33" s="28" t="n">
        <x:f>IF($B33="",0,SUMIFS('Wyniki zawodów'!$G$6:$G$205,'Wyniki zawodów'!$F$6:$F$205,$B33,'Wyniki zawodów'!$A$6:$A$205,J$4))</x:f>
        <x:v>0</x:v>
      </x:c>
      <x:c r="K33" s="28" t="n">
        <x:f>IF($B33="",0,SUMIFS('Wyniki zawodów'!$G$6:$G$205,'Wyniki zawodów'!$F$6:$F$205,$B33,'Wyniki zawodów'!$A$6:$A$205,K$4))</x:f>
        <x:v>0</x:v>
      </x:c>
      <x:c r="L33" s="28" t="n">
        <x:f>IF($B33="",0,SUMIFS('Wyniki zawodów'!$G$6:$G$205,'Wyniki zawodów'!$F$6:$F$205,$B33,'Wyniki zawodów'!$A$6:$A$205,L$4))</x:f>
        <x:v>0</x:v>
      </x:c>
      <x:c r="M33" s="28" t="n">
        <x:f>IF($B33="",0,SUMIFS('Wyniki zawodów'!$G$6:$G$205,'Wyniki zawodów'!$F$6:$F$205,$B33,'Wyniki zawodów'!$A$6:$A$205,M$4))</x:f>
        <x:v>0</x:v>
      </x:c>
      <x:c r="N33" s="28" t="n">
        <x:f>IF($B33="",0,SUMIFS('Wyniki zawodów'!$G$6:$G$205,'Wyniki zawodów'!$F$6:$F$205,$B33,'Wyniki zawodów'!$A$6:$A$205,N$4))</x:f>
        <x:v>0</x:v>
      </x:c>
      <x:c r="O33" s="28" t="n">
        <x:f>IF($B33="",0,SUMIFS('Wyniki zawodów'!$G$6:$G$205,'Wyniki zawodów'!$F$6:$F$205,$B33,'Wyniki zawodów'!$A$6:$A$205,O$4))</x:f>
        <x:v>0</x:v>
      </x:c>
      <x:c r="P33" s="28" t="n">
        <x:f>IF($B33="",0,SUMIFS('Wyniki zawodów'!$G$6:$G$205,'Wyniki zawodów'!$F$6:$F$205,$B33,'Wyniki zawodów'!$A$6:$A$205,P$4))</x:f>
        <x:v>0</x:v>
      </x:c>
      <x:c r="Q33" s="28" t="n">
        <x:f>IF($B33="",0,SUMIFS('Wyniki zawodów'!$G$6:$G$205,'Wyniki zawodów'!$F$6:$F$205,$B33,'Wyniki zawodów'!$A$6:$A$205,Q$4))</x:f>
        <x:v>0</x:v>
      </x:c>
      <x:c r="R33" s="28" t="n">
        <x:f>IF($B33="",0,SUMIFS('Wyniki zawodów'!$G$6:$G$205,'Wyniki zawodów'!$F$6:$F$205,$B33,'Wyniki zawodów'!$A$6:$A$205,R$4))</x:f>
        <x:v>0</x:v>
      </x:c>
      <x:c r="S33" s="28" t="n">
        <x:f>IF($B33="",0,SUMIFS('Wyniki zawodów'!$G$6:$G$205,'Wyniki zawodów'!$F$6:$F$205,$B33,'Wyniki zawodów'!$A$6:$A$205,S$4))</x:f>
        <x:v>0</x:v>
      </x:c>
      <x:c r="T33" s="28" t="n">
        <x:f>IF($B33="",0,SUMIFS('Wyniki zawodów'!$G$6:$G$205,'Wyniki zawodów'!$F$6:$F$205,$B33,'Wyniki zawodów'!$A$6:$A$205,T$4))</x:f>
        <x:v>0</x:v>
      </x:c>
      <x:c r="U33" s="28" t="n">
        <x:f>IF($B33="",0,SUMIFS('Wyniki zawodów'!$G$6:$G$205,'Wyniki zawodów'!$F$6:$F$205,$B33,'Wyniki zawodów'!$A$6:$A$205,U$4))</x:f>
        <x:v>0</x:v>
      </x:c>
      <x:c r="V33" s="28" t="n">
        <x:f>IF($B33="",0,SUMIFS('Wyniki zawodów'!$G$6:$G$205,'Wyniki zawodów'!$F$6:$F$205,$B33,'Wyniki zawodów'!$A$6:$A$205,V$4))</x:f>
        <x:v>0</x:v>
      </x:c>
      <x:c r="W33" s="28" t="n">
        <x:f>IF($B33="",0,SUMIFS('Wyniki zawodów'!$G$6:$G$205,'Wyniki zawodów'!$F$6:$F$205,$B33,'Wyniki zawodów'!$A$6:$A$205,W$4))</x:f>
        <x:v>0</x:v>
      </x:c>
      <x:c r="X33" s="17" t="str">
        <x:f>IF(B33="","",SUM(D33:W33))</x:f>
      </x:c>
      <x:c r="Y33" s="29" t="str">
        <x:f>IF(B33="","",LARGE(D33:W33,1)+LARGE(D33:W33,2)+LARGE(D33:W33,3)+LARGE(D33:W33,4))</x:f>
      </x:c>
      <x:c r="Z33" s="17" t="str">
        <x:f>IF(B33="","",X33-Y33)</x:f>
      </x:c>
      <x:c r="AA33" s="17" t="n">
        <x:f>IF(B33="",0,Y33*1000+(100-ROW()))</x:f>
        <x:v>0</x:v>
      </x:c>
    </x:row>
    <x:row r="34">
      <x:c r="A34" s="17" t="str">
        <x:f>IF(B34="","",1+COUNTIF($Y$6:$Y$55,"&gt;"&amp;Y34))</x:f>
      </x:c>
      <x:c r="B34" s="17" t="str">
        <x:f>IF(COUNTIF('Wyniki zawodów'!$F$6:$F$205,Zawodnicy!A34)=0,"",Zawodnicy!A34)</x:f>
      </x:c>
      <x:c r="C34" s="17" t="str">
        <x:f>IF(B34="","",COUNTIF('Wyniki zawodów'!$F$6:$F$205,B34))</x:f>
      </x:c>
      <x:c r="D34" s="28" t="n">
        <x:f>IF($B34="",0,SUMIFS('Wyniki zawodów'!$G$6:$G$205,'Wyniki zawodów'!$F$6:$F$205,$B34,'Wyniki zawodów'!$A$6:$A$205,D$4))</x:f>
        <x:v>0</x:v>
      </x:c>
      <x:c r="E34" s="28" t="n">
        <x:f>IF($B34="",0,SUMIFS('Wyniki zawodów'!$G$6:$G$205,'Wyniki zawodów'!$F$6:$F$205,$B34,'Wyniki zawodów'!$A$6:$A$205,E$4))</x:f>
        <x:v>0</x:v>
      </x:c>
      <x:c r="F34" s="28" t="n">
        <x:f>IF($B34="",0,SUMIFS('Wyniki zawodów'!$G$6:$G$205,'Wyniki zawodów'!$F$6:$F$205,$B34,'Wyniki zawodów'!$A$6:$A$205,F$4))</x:f>
        <x:v>0</x:v>
      </x:c>
      <x:c r="G34" s="28" t="n">
        <x:f>IF($B34="",0,SUMIFS('Wyniki zawodów'!$G$6:$G$205,'Wyniki zawodów'!$F$6:$F$205,$B34,'Wyniki zawodów'!$A$6:$A$205,G$4))</x:f>
        <x:v>0</x:v>
      </x:c>
      <x:c r="H34" s="28" t="n">
        <x:f>IF($B34="",0,SUMIFS('Wyniki zawodów'!$G$6:$G$205,'Wyniki zawodów'!$F$6:$F$205,$B34,'Wyniki zawodów'!$A$6:$A$205,H$4))</x:f>
        <x:v>0</x:v>
      </x:c>
      <x:c r="I34" s="28" t="n">
        <x:f>IF($B34="",0,SUMIFS('Wyniki zawodów'!$G$6:$G$205,'Wyniki zawodów'!$F$6:$F$205,$B34,'Wyniki zawodów'!$A$6:$A$205,I$4))</x:f>
        <x:v>0</x:v>
      </x:c>
      <x:c r="J34" s="28" t="n">
        <x:f>IF($B34="",0,SUMIFS('Wyniki zawodów'!$G$6:$G$205,'Wyniki zawodów'!$F$6:$F$205,$B34,'Wyniki zawodów'!$A$6:$A$205,J$4))</x:f>
        <x:v>0</x:v>
      </x:c>
      <x:c r="K34" s="28" t="n">
        <x:f>IF($B34="",0,SUMIFS('Wyniki zawodów'!$G$6:$G$205,'Wyniki zawodów'!$F$6:$F$205,$B34,'Wyniki zawodów'!$A$6:$A$205,K$4))</x:f>
        <x:v>0</x:v>
      </x:c>
      <x:c r="L34" s="28" t="n">
        <x:f>IF($B34="",0,SUMIFS('Wyniki zawodów'!$G$6:$G$205,'Wyniki zawodów'!$F$6:$F$205,$B34,'Wyniki zawodów'!$A$6:$A$205,L$4))</x:f>
        <x:v>0</x:v>
      </x:c>
      <x:c r="M34" s="28" t="n">
        <x:f>IF($B34="",0,SUMIFS('Wyniki zawodów'!$G$6:$G$205,'Wyniki zawodów'!$F$6:$F$205,$B34,'Wyniki zawodów'!$A$6:$A$205,M$4))</x:f>
        <x:v>0</x:v>
      </x:c>
      <x:c r="N34" s="28" t="n">
        <x:f>IF($B34="",0,SUMIFS('Wyniki zawodów'!$G$6:$G$205,'Wyniki zawodów'!$F$6:$F$205,$B34,'Wyniki zawodów'!$A$6:$A$205,N$4))</x:f>
        <x:v>0</x:v>
      </x:c>
      <x:c r="O34" s="28" t="n">
        <x:f>IF($B34="",0,SUMIFS('Wyniki zawodów'!$G$6:$G$205,'Wyniki zawodów'!$F$6:$F$205,$B34,'Wyniki zawodów'!$A$6:$A$205,O$4))</x:f>
        <x:v>0</x:v>
      </x:c>
      <x:c r="P34" s="28" t="n">
        <x:f>IF($B34="",0,SUMIFS('Wyniki zawodów'!$G$6:$G$205,'Wyniki zawodów'!$F$6:$F$205,$B34,'Wyniki zawodów'!$A$6:$A$205,P$4))</x:f>
        <x:v>0</x:v>
      </x:c>
      <x:c r="Q34" s="28" t="n">
        <x:f>IF($B34="",0,SUMIFS('Wyniki zawodów'!$G$6:$G$205,'Wyniki zawodów'!$F$6:$F$205,$B34,'Wyniki zawodów'!$A$6:$A$205,Q$4))</x:f>
        <x:v>0</x:v>
      </x:c>
      <x:c r="R34" s="28" t="n">
        <x:f>IF($B34="",0,SUMIFS('Wyniki zawodów'!$G$6:$G$205,'Wyniki zawodów'!$F$6:$F$205,$B34,'Wyniki zawodów'!$A$6:$A$205,R$4))</x:f>
        <x:v>0</x:v>
      </x:c>
      <x:c r="S34" s="28" t="n">
        <x:f>IF($B34="",0,SUMIFS('Wyniki zawodów'!$G$6:$G$205,'Wyniki zawodów'!$F$6:$F$205,$B34,'Wyniki zawodów'!$A$6:$A$205,S$4))</x:f>
        <x:v>0</x:v>
      </x:c>
      <x:c r="T34" s="28" t="n">
        <x:f>IF($B34="",0,SUMIFS('Wyniki zawodów'!$G$6:$G$205,'Wyniki zawodów'!$F$6:$F$205,$B34,'Wyniki zawodów'!$A$6:$A$205,T$4))</x:f>
        <x:v>0</x:v>
      </x:c>
      <x:c r="U34" s="28" t="n">
        <x:f>IF($B34="",0,SUMIFS('Wyniki zawodów'!$G$6:$G$205,'Wyniki zawodów'!$F$6:$F$205,$B34,'Wyniki zawodów'!$A$6:$A$205,U$4))</x:f>
        <x:v>0</x:v>
      </x:c>
      <x:c r="V34" s="28" t="n">
        <x:f>IF($B34="",0,SUMIFS('Wyniki zawodów'!$G$6:$G$205,'Wyniki zawodów'!$F$6:$F$205,$B34,'Wyniki zawodów'!$A$6:$A$205,V$4))</x:f>
        <x:v>0</x:v>
      </x:c>
      <x:c r="W34" s="28" t="n">
        <x:f>IF($B34="",0,SUMIFS('Wyniki zawodów'!$G$6:$G$205,'Wyniki zawodów'!$F$6:$F$205,$B34,'Wyniki zawodów'!$A$6:$A$205,W$4))</x:f>
        <x:v>0</x:v>
      </x:c>
      <x:c r="X34" s="17" t="str">
        <x:f>IF(B34="","",SUM(D34:W34))</x:f>
      </x:c>
      <x:c r="Y34" s="29" t="str">
        <x:f>IF(B34="","",LARGE(D34:W34,1)+LARGE(D34:W34,2)+LARGE(D34:W34,3)+LARGE(D34:W34,4))</x:f>
      </x:c>
      <x:c r="Z34" s="17" t="str">
        <x:f>IF(B34="","",X34-Y34)</x:f>
      </x:c>
      <x:c r="AA34" s="17" t="n">
        <x:f>IF(B34="",0,Y34*1000+(100-ROW()))</x:f>
        <x:v>0</x:v>
      </x:c>
    </x:row>
    <x:row r="35">
      <x:c r="A35" s="17" t="str">
        <x:f>IF(B35="","",1+COUNTIF($Y$6:$Y$55,"&gt;"&amp;Y35))</x:f>
      </x:c>
      <x:c r="B35" s="17" t="str">
        <x:f>IF(COUNTIF('Wyniki zawodów'!$F$6:$F$205,Zawodnicy!A35)=0,"",Zawodnicy!A35)</x:f>
      </x:c>
      <x:c r="C35" s="17" t="str">
        <x:f>IF(B35="","",COUNTIF('Wyniki zawodów'!$F$6:$F$205,B35))</x:f>
      </x:c>
      <x:c r="D35" s="28" t="n">
        <x:f>IF($B35="",0,SUMIFS('Wyniki zawodów'!$G$6:$G$205,'Wyniki zawodów'!$F$6:$F$205,$B35,'Wyniki zawodów'!$A$6:$A$205,D$4))</x:f>
        <x:v>0</x:v>
      </x:c>
      <x:c r="E35" s="28" t="n">
        <x:f>IF($B35="",0,SUMIFS('Wyniki zawodów'!$G$6:$G$205,'Wyniki zawodów'!$F$6:$F$205,$B35,'Wyniki zawodów'!$A$6:$A$205,E$4))</x:f>
        <x:v>0</x:v>
      </x:c>
      <x:c r="F35" s="28" t="n">
        <x:f>IF($B35="",0,SUMIFS('Wyniki zawodów'!$G$6:$G$205,'Wyniki zawodów'!$F$6:$F$205,$B35,'Wyniki zawodów'!$A$6:$A$205,F$4))</x:f>
        <x:v>0</x:v>
      </x:c>
      <x:c r="G35" s="28" t="n">
        <x:f>IF($B35="",0,SUMIFS('Wyniki zawodów'!$G$6:$G$205,'Wyniki zawodów'!$F$6:$F$205,$B35,'Wyniki zawodów'!$A$6:$A$205,G$4))</x:f>
        <x:v>0</x:v>
      </x:c>
      <x:c r="H35" s="28" t="n">
        <x:f>IF($B35="",0,SUMIFS('Wyniki zawodów'!$G$6:$G$205,'Wyniki zawodów'!$F$6:$F$205,$B35,'Wyniki zawodów'!$A$6:$A$205,H$4))</x:f>
        <x:v>0</x:v>
      </x:c>
      <x:c r="I35" s="28" t="n">
        <x:f>IF($B35="",0,SUMIFS('Wyniki zawodów'!$G$6:$G$205,'Wyniki zawodów'!$F$6:$F$205,$B35,'Wyniki zawodów'!$A$6:$A$205,I$4))</x:f>
        <x:v>0</x:v>
      </x:c>
      <x:c r="J35" s="28" t="n">
        <x:f>IF($B35="",0,SUMIFS('Wyniki zawodów'!$G$6:$G$205,'Wyniki zawodów'!$F$6:$F$205,$B35,'Wyniki zawodów'!$A$6:$A$205,J$4))</x:f>
        <x:v>0</x:v>
      </x:c>
      <x:c r="K35" s="28" t="n">
        <x:f>IF($B35="",0,SUMIFS('Wyniki zawodów'!$G$6:$G$205,'Wyniki zawodów'!$F$6:$F$205,$B35,'Wyniki zawodów'!$A$6:$A$205,K$4))</x:f>
        <x:v>0</x:v>
      </x:c>
      <x:c r="L35" s="28" t="n">
        <x:f>IF($B35="",0,SUMIFS('Wyniki zawodów'!$G$6:$G$205,'Wyniki zawodów'!$F$6:$F$205,$B35,'Wyniki zawodów'!$A$6:$A$205,L$4))</x:f>
        <x:v>0</x:v>
      </x:c>
      <x:c r="M35" s="28" t="n">
        <x:f>IF($B35="",0,SUMIFS('Wyniki zawodów'!$G$6:$G$205,'Wyniki zawodów'!$F$6:$F$205,$B35,'Wyniki zawodów'!$A$6:$A$205,M$4))</x:f>
        <x:v>0</x:v>
      </x:c>
      <x:c r="N35" s="28" t="n">
        <x:f>IF($B35="",0,SUMIFS('Wyniki zawodów'!$G$6:$G$205,'Wyniki zawodów'!$F$6:$F$205,$B35,'Wyniki zawodów'!$A$6:$A$205,N$4))</x:f>
        <x:v>0</x:v>
      </x:c>
      <x:c r="O35" s="28" t="n">
        <x:f>IF($B35="",0,SUMIFS('Wyniki zawodów'!$G$6:$G$205,'Wyniki zawodów'!$F$6:$F$205,$B35,'Wyniki zawodów'!$A$6:$A$205,O$4))</x:f>
        <x:v>0</x:v>
      </x:c>
      <x:c r="P35" s="28" t="n">
        <x:f>IF($B35="",0,SUMIFS('Wyniki zawodów'!$G$6:$G$205,'Wyniki zawodów'!$F$6:$F$205,$B35,'Wyniki zawodów'!$A$6:$A$205,P$4))</x:f>
        <x:v>0</x:v>
      </x:c>
      <x:c r="Q35" s="28" t="n">
        <x:f>IF($B35="",0,SUMIFS('Wyniki zawodów'!$G$6:$G$205,'Wyniki zawodów'!$F$6:$F$205,$B35,'Wyniki zawodów'!$A$6:$A$205,Q$4))</x:f>
        <x:v>0</x:v>
      </x:c>
      <x:c r="R35" s="28" t="n">
        <x:f>IF($B35="",0,SUMIFS('Wyniki zawodów'!$G$6:$G$205,'Wyniki zawodów'!$F$6:$F$205,$B35,'Wyniki zawodów'!$A$6:$A$205,R$4))</x:f>
        <x:v>0</x:v>
      </x:c>
      <x:c r="S35" s="28" t="n">
        <x:f>IF($B35="",0,SUMIFS('Wyniki zawodów'!$G$6:$G$205,'Wyniki zawodów'!$F$6:$F$205,$B35,'Wyniki zawodów'!$A$6:$A$205,S$4))</x:f>
        <x:v>0</x:v>
      </x:c>
      <x:c r="T35" s="28" t="n">
        <x:f>IF($B35="",0,SUMIFS('Wyniki zawodów'!$G$6:$G$205,'Wyniki zawodów'!$F$6:$F$205,$B35,'Wyniki zawodów'!$A$6:$A$205,T$4))</x:f>
        <x:v>0</x:v>
      </x:c>
      <x:c r="U35" s="28" t="n">
        <x:f>IF($B35="",0,SUMIFS('Wyniki zawodów'!$G$6:$G$205,'Wyniki zawodów'!$F$6:$F$205,$B35,'Wyniki zawodów'!$A$6:$A$205,U$4))</x:f>
        <x:v>0</x:v>
      </x:c>
      <x:c r="V35" s="28" t="n">
        <x:f>IF($B35="",0,SUMIFS('Wyniki zawodów'!$G$6:$G$205,'Wyniki zawodów'!$F$6:$F$205,$B35,'Wyniki zawodów'!$A$6:$A$205,V$4))</x:f>
        <x:v>0</x:v>
      </x:c>
      <x:c r="W35" s="28" t="n">
        <x:f>IF($B35="",0,SUMIFS('Wyniki zawodów'!$G$6:$G$205,'Wyniki zawodów'!$F$6:$F$205,$B35,'Wyniki zawodów'!$A$6:$A$205,W$4))</x:f>
        <x:v>0</x:v>
      </x:c>
      <x:c r="X35" s="17" t="str">
        <x:f>IF(B35="","",SUM(D35:W35))</x:f>
      </x:c>
      <x:c r="Y35" s="29" t="str">
        <x:f>IF(B35="","",LARGE(D35:W35,1)+LARGE(D35:W35,2)+LARGE(D35:W35,3)+LARGE(D35:W35,4))</x:f>
      </x:c>
      <x:c r="Z35" s="17" t="str">
        <x:f>IF(B35="","",X35-Y35)</x:f>
      </x:c>
      <x:c r="AA35" s="17" t="n">
        <x:f>IF(B35="",0,Y35*1000+(100-ROW()))</x:f>
        <x:v>0</x:v>
      </x:c>
    </x:row>
    <x:row r="36">
      <x:c r="A36" s="17" t="str">
        <x:f>IF(B36="","",1+COUNTIF($Y$6:$Y$55,"&gt;"&amp;Y36))</x:f>
      </x:c>
      <x:c r="B36" s="17" t="str">
        <x:f>IF(COUNTIF('Wyniki zawodów'!$F$6:$F$205,Zawodnicy!A36)=0,"",Zawodnicy!A36)</x:f>
      </x:c>
      <x:c r="C36" s="17" t="str">
        <x:f>IF(B36="","",COUNTIF('Wyniki zawodów'!$F$6:$F$205,B36))</x:f>
      </x:c>
      <x:c r="D36" s="28" t="n">
        <x:f>IF($B36="",0,SUMIFS('Wyniki zawodów'!$G$6:$G$205,'Wyniki zawodów'!$F$6:$F$205,$B36,'Wyniki zawodów'!$A$6:$A$205,D$4))</x:f>
        <x:v>0</x:v>
      </x:c>
      <x:c r="E36" s="28" t="n">
        <x:f>IF($B36="",0,SUMIFS('Wyniki zawodów'!$G$6:$G$205,'Wyniki zawodów'!$F$6:$F$205,$B36,'Wyniki zawodów'!$A$6:$A$205,E$4))</x:f>
        <x:v>0</x:v>
      </x:c>
      <x:c r="F36" s="28" t="n">
        <x:f>IF($B36="",0,SUMIFS('Wyniki zawodów'!$G$6:$G$205,'Wyniki zawodów'!$F$6:$F$205,$B36,'Wyniki zawodów'!$A$6:$A$205,F$4))</x:f>
        <x:v>0</x:v>
      </x:c>
      <x:c r="G36" s="28" t="n">
        <x:f>IF($B36="",0,SUMIFS('Wyniki zawodów'!$G$6:$G$205,'Wyniki zawodów'!$F$6:$F$205,$B36,'Wyniki zawodów'!$A$6:$A$205,G$4))</x:f>
        <x:v>0</x:v>
      </x:c>
      <x:c r="H36" s="28" t="n">
        <x:f>IF($B36="",0,SUMIFS('Wyniki zawodów'!$G$6:$G$205,'Wyniki zawodów'!$F$6:$F$205,$B36,'Wyniki zawodów'!$A$6:$A$205,H$4))</x:f>
        <x:v>0</x:v>
      </x:c>
      <x:c r="I36" s="28" t="n">
        <x:f>IF($B36="",0,SUMIFS('Wyniki zawodów'!$G$6:$G$205,'Wyniki zawodów'!$F$6:$F$205,$B36,'Wyniki zawodów'!$A$6:$A$205,I$4))</x:f>
        <x:v>0</x:v>
      </x:c>
      <x:c r="J36" s="28" t="n">
        <x:f>IF($B36="",0,SUMIFS('Wyniki zawodów'!$G$6:$G$205,'Wyniki zawodów'!$F$6:$F$205,$B36,'Wyniki zawodów'!$A$6:$A$205,J$4))</x:f>
        <x:v>0</x:v>
      </x:c>
      <x:c r="K36" s="28" t="n">
        <x:f>IF($B36="",0,SUMIFS('Wyniki zawodów'!$G$6:$G$205,'Wyniki zawodów'!$F$6:$F$205,$B36,'Wyniki zawodów'!$A$6:$A$205,K$4))</x:f>
        <x:v>0</x:v>
      </x:c>
      <x:c r="L36" s="28" t="n">
        <x:f>IF($B36="",0,SUMIFS('Wyniki zawodów'!$G$6:$G$205,'Wyniki zawodów'!$F$6:$F$205,$B36,'Wyniki zawodów'!$A$6:$A$205,L$4))</x:f>
        <x:v>0</x:v>
      </x:c>
      <x:c r="M36" s="28" t="n">
        <x:f>IF($B36="",0,SUMIFS('Wyniki zawodów'!$G$6:$G$205,'Wyniki zawodów'!$F$6:$F$205,$B36,'Wyniki zawodów'!$A$6:$A$205,M$4))</x:f>
        <x:v>0</x:v>
      </x:c>
      <x:c r="N36" s="28" t="n">
        <x:f>IF($B36="",0,SUMIFS('Wyniki zawodów'!$G$6:$G$205,'Wyniki zawodów'!$F$6:$F$205,$B36,'Wyniki zawodów'!$A$6:$A$205,N$4))</x:f>
        <x:v>0</x:v>
      </x:c>
      <x:c r="O36" s="28" t="n">
        <x:f>IF($B36="",0,SUMIFS('Wyniki zawodów'!$G$6:$G$205,'Wyniki zawodów'!$F$6:$F$205,$B36,'Wyniki zawodów'!$A$6:$A$205,O$4))</x:f>
        <x:v>0</x:v>
      </x:c>
      <x:c r="P36" s="28" t="n">
        <x:f>IF($B36="",0,SUMIFS('Wyniki zawodów'!$G$6:$G$205,'Wyniki zawodów'!$F$6:$F$205,$B36,'Wyniki zawodów'!$A$6:$A$205,P$4))</x:f>
        <x:v>0</x:v>
      </x:c>
      <x:c r="Q36" s="28" t="n">
        <x:f>IF($B36="",0,SUMIFS('Wyniki zawodów'!$G$6:$G$205,'Wyniki zawodów'!$F$6:$F$205,$B36,'Wyniki zawodów'!$A$6:$A$205,Q$4))</x:f>
        <x:v>0</x:v>
      </x:c>
      <x:c r="R36" s="28" t="n">
        <x:f>IF($B36="",0,SUMIFS('Wyniki zawodów'!$G$6:$G$205,'Wyniki zawodów'!$F$6:$F$205,$B36,'Wyniki zawodów'!$A$6:$A$205,R$4))</x:f>
        <x:v>0</x:v>
      </x:c>
      <x:c r="S36" s="28" t="n">
        <x:f>IF($B36="",0,SUMIFS('Wyniki zawodów'!$G$6:$G$205,'Wyniki zawodów'!$F$6:$F$205,$B36,'Wyniki zawodów'!$A$6:$A$205,S$4))</x:f>
        <x:v>0</x:v>
      </x:c>
      <x:c r="T36" s="28" t="n">
        <x:f>IF($B36="",0,SUMIFS('Wyniki zawodów'!$G$6:$G$205,'Wyniki zawodów'!$F$6:$F$205,$B36,'Wyniki zawodów'!$A$6:$A$205,T$4))</x:f>
        <x:v>0</x:v>
      </x:c>
      <x:c r="U36" s="28" t="n">
        <x:f>IF($B36="",0,SUMIFS('Wyniki zawodów'!$G$6:$G$205,'Wyniki zawodów'!$F$6:$F$205,$B36,'Wyniki zawodów'!$A$6:$A$205,U$4))</x:f>
        <x:v>0</x:v>
      </x:c>
      <x:c r="V36" s="28" t="n">
        <x:f>IF($B36="",0,SUMIFS('Wyniki zawodów'!$G$6:$G$205,'Wyniki zawodów'!$F$6:$F$205,$B36,'Wyniki zawodów'!$A$6:$A$205,V$4))</x:f>
        <x:v>0</x:v>
      </x:c>
      <x:c r="W36" s="28" t="n">
        <x:f>IF($B36="",0,SUMIFS('Wyniki zawodów'!$G$6:$G$205,'Wyniki zawodów'!$F$6:$F$205,$B36,'Wyniki zawodów'!$A$6:$A$205,W$4))</x:f>
        <x:v>0</x:v>
      </x:c>
      <x:c r="X36" s="17" t="str">
        <x:f>IF(B36="","",SUM(D36:W36))</x:f>
      </x:c>
      <x:c r="Y36" s="29" t="str">
        <x:f>IF(B36="","",LARGE(D36:W36,1)+LARGE(D36:W36,2)+LARGE(D36:W36,3)+LARGE(D36:W36,4))</x:f>
      </x:c>
      <x:c r="Z36" s="17" t="str">
        <x:f>IF(B36="","",X36-Y36)</x:f>
      </x:c>
      <x:c r="AA36" s="17" t="n">
        <x:f>IF(B36="",0,Y36*1000+(100-ROW()))</x:f>
        <x:v>0</x:v>
      </x:c>
    </x:row>
    <x:row r="37">
      <x:c r="A37" s="17" t="str">
        <x:f>IF(B37="","",1+COUNTIF($Y$6:$Y$55,"&gt;"&amp;Y37))</x:f>
      </x:c>
      <x:c r="B37" s="17" t="str">
        <x:f>IF(COUNTIF('Wyniki zawodów'!$F$6:$F$205,Zawodnicy!A37)=0,"",Zawodnicy!A37)</x:f>
      </x:c>
      <x:c r="C37" s="17" t="str">
        <x:f>IF(B37="","",COUNTIF('Wyniki zawodów'!$F$6:$F$205,B37))</x:f>
      </x:c>
      <x:c r="D37" s="28" t="n">
        <x:f>IF($B37="",0,SUMIFS('Wyniki zawodów'!$G$6:$G$205,'Wyniki zawodów'!$F$6:$F$205,$B37,'Wyniki zawodów'!$A$6:$A$205,D$4))</x:f>
        <x:v>0</x:v>
      </x:c>
      <x:c r="E37" s="28" t="n">
        <x:f>IF($B37="",0,SUMIFS('Wyniki zawodów'!$G$6:$G$205,'Wyniki zawodów'!$F$6:$F$205,$B37,'Wyniki zawodów'!$A$6:$A$205,E$4))</x:f>
        <x:v>0</x:v>
      </x:c>
      <x:c r="F37" s="28" t="n">
        <x:f>IF($B37="",0,SUMIFS('Wyniki zawodów'!$G$6:$G$205,'Wyniki zawodów'!$F$6:$F$205,$B37,'Wyniki zawodów'!$A$6:$A$205,F$4))</x:f>
        <x:v>0</x:v>
      </x:c>
      <x:c r="G37" s="28" t="n">
        <x:f>IF($B37="",0,SUMIFS('Wyniki zawodów'!$G$6:$G$205,'Wyniki zawodów'!$F$6:$F$205,$B37,'Wyniki zawodów'!$A$6:$A$205,G$4))</x:f>
        <x:v>0</x:v>
      </x:c>
      <x:c r="H37" s="28" t="n">
        <x:f>IF($B37="",0,SUMIFS('Wyniki zawodów'!$G$6:$G$205,'Wyniki zawodów'!$F$6:$F$205,$B37,'Wyniki zawodów'!$A$6:$A$205,H$4))</x:f>
        <x:v>0</x:v>
      </x:c>
      <x:c r="I37" s="28" t="n">
        <x:f>IF($B37="",0,SUMIFS('Wyniki zawodów'!$G$6:$G$205,'Wyniki zawodów'!$F$6:$F$205,$B37,'Wyniki zawodów'!$A$6:$A$205,I$4))</x:f>
        <x:v>0</x:v>
      </x:c>
      <x:c r="J37" s="28" t="n">
        <x:f>IF($B37="",0,SUMIFS('Wyniki zawodów'!$G$6:$G$205,'Wyniki zawodów'!$F$6:$F$205,$B37,'Wyniki zawodów'!$A$6:$A$205,J$4))</x:f>
        <x:v>0</x:v>
      </x:c>
      <x:c r="K37" s="28" t="n">
        <x:f>IF($B37="",0,SUMIFS('Wyniki zawodów'!$G$6:$G$205,'Wyniki zawodów'!$F$6:$F$205,$B37,'Wyniki zawodów'!$A$6:$A$205,K$4))</x:f>
        <x:v>0</x:v>
      </x:c>
      <x:c r="L37" s="28" t="n">
        <x:f>IF($B37="",0,SUMIFS('Wyniki zawodów'!$G$6:$G$205,'Wyniki zawodów'!$F$6:$F$205,$B37,'Wyniki zawodów'!$A$6:$A$205,L$4))</x:f>
        <x:v>0</x:v>
      </x:c>
      <x:c r="M37" s="28" t="n">
        <x:f>IF($B37="",0,SUMIFS('Wyniki zawodów'!$G$6:$G$205,'Wyniki zawodów'!$F$6:$F$205,$B37,'Wyniki zawodów'!$A$6:$A$205,M$4))</x:f>
        <x:v>0</x:v>
      </x:c>
      <x:c r="N37" s="28" t="n">
        <x:f>IF($B37="",0,SUMIFS('Wyniki zawodów'!$G$6:$G$205,'Wyniki zawodów'!$F$6:$F$205,$B37,'Wyniki zawodów'!$A$6:$A$205,N$4))</x:f>
        <x:v>0</x:v>
      </x:c>
      <x:c r="O37" s="28" t="n">
        <x:f>IF($B37="",0,SUMIFS('Wyniki zawodów'!$G$6:$G$205,'Wyniki zawodów'!$F$6:$F$205,$B37,'Wyniki zawodów'!$A$6:$A$205,O$4))</x:f>
        <x:v>0</x:v>
      </x:c>
      <x:c r="P37" s="28" t="n">
        <x:f>IF($B37="",0,SUMIFS('Wyniki zawodów'!$G$6:$G$205,'Wyniki zawodów'!$F$6:$F$205,$B37,'Wyniki zawodów'!$A$6:$A$205,P$4))</x:f>
        <x:v>0</x:v>
      </x:c>
      <x:c r="Q37" s="28" t="n">
        <x:f>IF($B37="",0,SUMIFS('Wyniki zawodów'!$G$6:$G$205,'Wyniki zawodów'!$F$6:$F$205,$B37,'Wyniki zawodów'!$A$6:$A$205,Q$4))</x:f>
        <x:v>0</x:v>
      </x:c>
      <x:c r="R37" s="28" t="n">
        <x:f>IF($B37="",0,SUMIFS('Wyniki zawodów'!$G$6:$G$205,'Wyniki zawodów'!$F$6:$F$205,$B37,'Wyniki zawodów'!$A$6:$A$205,R$4))</x:f>
        <x:v>0</x:v>
      </x:c>
      <x:c r="S37" s="28" t="n">
        <x:f>IF($B37="",0,SUMIFS('Wyniki zawodów'!$G$6:$G$205,'Wyniki zawodów'!$F$6:$F$205,$B37,'Wyniki zawodów'!$A$6:$A$205,S$4))</x:f>
        <x:v>0</x:v>
      </x:c>
      <x:c r="T37" s="28" t="n">
        <x:f>IF($B37="",0,SUMIFS('Wyniki zawodów'!$G$6:$G$205,'Wyniki zawodów'!$F$6:$F$205,$B37,'Wyniki zawodów'!$A$6:$A$205,T$4))</x:f>
        <x:v>0</x:v>
      </x:c>
      <x:c r="U37" s="28" t="n">
        <x:f>IF($B37="",0,SUMIFS('Wyniki zawodów'!$G$6:$G$205,'Wyniki zawodów'!$F$6:$F$205,$B37,'Wyniki zawodów'!$A$6:$A$205,U$4))</x:f>
        <x:v>0</x:v>
      </x:c>
      <x:c r="V37" s="28" t="n">
        <x:f>IF($B37="",0,SUMIFS('Wyniki zawodów'!$G$6:$G$205,'Wyniki zawodów'!$F$6:$F$205,$B37,'Wyniki zawodów'!$A$6:$A$205,V$4))</x:f>
        <x:v>0</x:v>
      </x:c>
      <x:c r="W37" s="28" t="n">
        <x:f>IF($B37="",0,SUMIFS('Wyniki zawodów'!$G$6:$G$205,'Wyniki zawodów'!$F$6:$F$205,$B37,'Wyniki zawodów'!$A$6:$A$205,W$4))</x:f>
        <x:v>0</x:v>
      </x:c>
      <x:c r="X37" s="17" t="str">
        <x:f>IF(B37="","",SUM(D37:W37))</x:f>
      </x:c>
      <x:c r="Y37" s="29" t="str">
        <x:f>IF(B37="","",LARGE(D37:W37,1)+LARGE(D37:W37,2)+LARGE(D37:W37,3)+LARGE(D37:W37,4))</x:f>
      </x:c>
      <x:c r="Z37" s="17" t="str">
        <x:f>IF(B37="","",X37-Y37)</x:f>
      </x:c>
      <x:c r="AA37" s="17" t="n">
        <x:f>IF(B37="",0,Y37*1000+(100-ROW()))</x:f>
        <x:v>0</x:v>
      </x:c>
    </x:row>
    <x:row r="38">
      <x:c r="A38" s="17" t="str">
        <x:f>IF(B38="","",1+COUNTIF($Y$6:$Y$55,"&gt;"&amp;Y38))</x:f>
      </x:c>
      <x:c r="B38" s="17" t="str">
        <x:f>IF(COUNTIF('Wyniki zawodów'!$F$6:$F$205,Zawodnicy!A38)=0,"",Zawodnicy!A38)</x:f>
      </x:c>
      <x:c r="C38" s="17" t="str">
        <x:f>IF(B38="","",COUNTIF('Wyniki zawodów'!$F$6:$F$205,B38))</x:f>
      </x:c>
      <x:c r="D38" s="28" t="n">
        <x:f>IF($B38="",0,SUMIFS('Wyniki zawodów'!$G$6:$G$205,'Wyniki zawodów'!$F$6:$F$205,$B38,'Wyniki zawodów'!$A$6:$A$205,D$4))</x:f>
        <x:v>0</x:v>
      </x:c>
      <x:c r="E38" s="28" t="n">
        <x:f>IF($B38="",0,SUMIFS('Wyniki zawodów'!$G$6:$G$205,'Wyniki zawodów'!$F$6:$F$205,$B38,'Wyniki zawodów'!$A$6:$A$205,E$4))</x:f>
        <x:v>0</x:v>
      </x:c>
      <x:c r="F38" s="28" t="n">
        <x:f>IF($B38="",0,SUMIFS('Wyniki zawodów'!$G$6:$G$205,'Wyniki zawodów'!$F$6:$F$205,$B38,'Wyniki zawodów'!$A$6:$A$205,F$4))</x:f>
        <x:v>0</x:v>
      </x:c>
      <x:c r="G38" s="28" t="n">
        <x:f>IF($B38="",0,SUMIFS('Wyniki zawodów'!$G$6:$G$205,'Wyniki zawodów'!$F$6:$F$205,$B38,'Wyniki zawodów'!$A$6:$A$205,G$4))</x:f>
        <x:v>0</x:v>
      </x:c>
      <x:c r="H38" s="28" t="n">
        <x:f>IF($B38="",0,SUMIFS('Wyniki zawodów'!$G$6:$G$205,'Wyniki zawodów'!$F$6:$F$205,$B38,'Wyniki zawodów'!$A$6:$A$205,H$4))</x:f>
        <x:v>0</x:v>
      </x:c>
      <x:c r="I38" s="28" t="n">
        <x:f>IF($B38="",0,SUMIFS('Wyniki zawodów'!$G$6:$G$205,'Wyniki zawodów'!$F$6:$F$205,$B38,'Wyniki zawodów'!$A$6:$A$205,I$4))</x:f>
        <x:v>0</x:v>
      </x:c>
      <x:c r="J38" s="28" t="n">
        <x:f>IF($B38="",0,SUMIFS('Wyniki zawodów'!$G$6:$G$205,'Wyniki zawodów'!$F$6:$F$205,$B38,'Wyniki zawodów'!$A$6:$A$205,J$4))</x:f>
        <x:v>0</x:v>
      </x:c>
      <x:c r="K38" s="28" t="n">
        <x:f>IF($B38="",0,SUMIFS('Wyniki zawodów'!$G$6:$G$205,'Wyniki zawodów'!$F$6:$F$205,$B38,'Wyniki zawodów'!$A$6:$A$205,K$4))</x:f>
        <x:v>0</x:v>
      </x:c>
      <x:c r="L38" s="28" t="n">
        <x:f>IF($B38="",0,SUMIFS('Wyniki zawodów'!$G$6:$G$205,'Wyniki zawodów'!$F$6:$F$205,$B38,'Wyniki zawodów'!$A$6:$A$205,L$4))</x:f>
        <x:v>0</x:v>
      </x:c>
      <x:c r="M38" s="28" t="n">
        <x:f>IF($B38="",0,SUMIFS('Wyniki zawodów'!$G$6:$G$205,'Wyniki zawodów'!$F$6:$F$205,$B38,'Wyniki zawodów'!$A$6:$A$205,M$4))</x:f>
        <x:v>0</x:v>
      </x:c>
      <x:c r="N38" s="28" t="n">
        <x:f>IF($B38="",0,SUMIFS('Wyniki zawodów'!$G$6:$G$205,'Wyniki zawodów'!$F$6:$F$205,$B38,'Wyniki zawodów'!$A$6:$A$205,N$4))</x:f>
        <x:v>0</x:v>
      </x:c>
      <x:c r="O38" s="28" t="n">
        <x:f>IF($B38="",0,SUMIFS('Wyniki zawodów'!$G$6:$G$205,'Wyniki zawodów'!$F$6:$F$205,$B38,'Wyniki zawodów'!$A$6:$A$205,O$4))</x:f>
        <x:v>0</x:v>
      </x:c>
      <x:c r="P38" s="28" t="n">
        <x:f>IF($B38="",0,SUMIFS('Wyniki zawodów'!$G$6:$G$205,'Wyniki zawodów'!$F$6:$F$205,$B38,'Wyniki zawodów'!$A$6:$A$205,P$4))</x:f>
        <x:v>0</x:v>
      </x:c>
      <x:c r="Q38" s="28" t="n">
        <x:f>IF($B38="",0,SUMIFS('Wyniki zawodów'!$G$6:$G$205,'Wyniki zawodów'!$F$6:$F$205,$B38,'Wyniki zawodów'!$A$6:$A$205,Q$4))</x:f>
        <x:v>0</x:v>
      </x:c>
      <x:c r="R38" s="28" t="n">
        <x:f>IF($B38="",0,SUMIFS('Wyniki zawodów'!$G$6:$G$205,'Wyniki zawodów'!$F$6:$F$205,$B38,'Wyniki zawodów'!$A$6:$A$205,R$4))</x:f>
        <x:v>0</x:v>
      </x:c>
      <x:c r="S38" s="28" t="n">
        <x:f>IF($B38="",0,SUMIFS('Wyniki zawodów'!$G$6:$G$205,'Wyniki zawodów'!$F$6:$F$205,$B38,'Wyniki zawodów'!$A$6:$A$205,S$4))</x:f>
        <x:v>0</x:v>
      </x:c>
      <x:c r="T38" s="28" t="n">
        <x:f>IF($B38="",0,SUMIFS('Wyniki zawodów'!$G$6:$G$205,'Wyniki zawodów'!$F$6:$F$205,$B38,'Wyniki zawodów'!$A$6:$A$205,T$4))</x:f>
        <x:v>0</x:v>
      </x:c>
      <x:c r="U38" s="28" t="n">
        <x:f>IF($B38="",0,SUMIFS('Wyniki zawodów'!$G$6:$G$205,'Wyniki zawodów'!$F$6:$F$205,$B38,'Wyniki zawodów'!$A$6:$A$205,U$4))</x:f>
        <x:v>0</x:v>
      </x:c>
      <x:c r="V38" s="28" t="n">
        <x:f>IF($B38="",0,SUMIFS('Wyniki zawodów'!$G$6:$G$205,'Wyniki zawodów'!$F$6:$F$205,$B38,'Wyniki zawodów'!$A$6:$A$205,V$4))</x:f>
        <x:v>0</x:v>
      </x:c>
      <x:c r="W38" s="28" t="n">
        <x:f>IF($B38="",0,SUMIFS('Wyniki zawodów'!$G$6:$G$205,'Wyniki zawodów'!$F$6:$F$205,$B38,'Wyniki zawodów'!$A$6:$A$205,W$4))</x:f>
        <x:v>0</x:v>
      </x:c>
      <x:c r="X38" s="17" t="str">
        <x:f>IF(B38="","",SUM(D38:W38))</x:f>
      </x:c>
      <x:c r="Y38" s="29" t="str">
        <x:f>IF(B38="","",LARGE(D38:W38,1)+LARGE(D38:W38,2)+LARGE(D38:W38,3)+LARGE(D38:W38,4))</x:f>
      </x:c>
      <x:c r="Z38" s="17" t="str">
        <x:f>IF(B38="","",X38-Y38)</x:f>
      </x:c>
      <x:c r="AA38" s="17" t="n">
        <x:f>IF(B38="",0,Y38*1000+(100-ROW()))</x:f>
        <x:v>0</x:v>
      </x:c>
    </x:row>
    <x:row r="39">
      <x:c r="A39" s="17" t="str">
        <x:f>IF(B39="","",1+COUNTIF($Y$6:$Y$55,"&gt;"&amp;Y39))</x:f>
      </x:c>
      <x:c r="B39" s="17" t="str">
        <x:f>IF(COUNTIF('Wyniki zawodów'!$F$6:$F$205,Zawodnicy!A39)=0,"",Zawodnicy!A39)</x:f>
      </x:c>
      <x:c r="C39" s="17" t="str">
        <x:f>IF(B39="","",COUNTIF('Wyniki zawodów'!$F$6:$F$205,B39))</x:f>
      </x:c>
      <x:c r="D39" s="28" t="n">
        <x:f>IF($B39="",0,SUMIFS('Wyniki zawodów'!$G$6:$G$205,'Wyniki zawodów'!$F$6:$F$205,$B39,'Wyniki zawodów'!$A$6:$A$205,D$4))</x:f>
        <x:v>0</x:v>
      </x:c>
      <x:c r="E39" s="28" t="n">
        <x:f>IF($B39="",0,SUMIFS('Wyniki zawodów'!$G$6:$G$205,'Wyniki zawodów'!$F$6:$F$205,$B39,'Wyniki zawodów'!$A$6:$A$205,E$4))</x:f>
        <x:v>0</x:v>
      </x:c>
      <x:c r="F39" s="28" t="n">
        <x:f>IF($B39="",0,SUMIFS('Wyniki zawodów'!$G$6:$G$205,'Wyniki zawodów'!$F$6:$F$205,$B39,'Wyniki zawodów'!$A$6:$A$205,F$4))</x:f>
        <x:v>0</x:v>
      </x:c>
      <x:c r="G39" s="28" t="n">
        <x:f>IF($B39="",0,SUMIFS('Wyniki zawodów'!$G$6:$G$205,'Wyniki zawodów'!$F$6:$F$205,$B39,'Wyniki zawodów'!$A$6:$A$205,G$4))</x:f>
        <x:v>0</x:v>
      </x:c>
      <x:c r="H39" s="28" t="n">
        <x:f>IF($B39="",0,SUMIFS('Wyniki zawodów'!$G$6:$G$205,'Wyniki zawodów'!$F$6:$F$205,$B39,'Wyniki zawodów'!$A$6:$A$205,H$4))</x:f>
        <x:v>0</x:v>
      </x:c>
      <x:c r="I39" s="28" t="n">
        <x:f>IF($B39="",0,SUMIFS('Wyniki zawodów'!$G$6:$G$205,'Wyniki zawodów'!$F$6:$F$205,$B39,'Wyniki zawodów'!$A$6:$A$205,I$4))</x:f>
        <x:v>0</x:v>
      </x:c>
      <x:c r="J39" s="28" t="n">
        <x:f>IF($B39="",0,SUMIFS('Wyniki zawodów'!$G$6:$G$205,'Wyniki zawodów'!$F$6:$F$205,$B39,'Wyniki zawodów'!$A$6:$A$205,J$4))</x:f>
        <x:v>0</x:v>
      </x:c>
      <x:c r="K39" s="28" t="n">
        <x:f>IF($B39="",0,SUMIFS('Wyniki zawodów'!$G$6:$G$205,'Wyniki zawodów'!$F$6:$F$205,$B39,'Wyniki zawodów'!$A$6:$A$205,K$4))</x:f>
        <x:v>0</x:v>
      </x:c>
      <x:c r="L39" s="28" t="n">
        <x:f>IF($B39="",0,SUMIFS('Wyniki zawodów'!$G$6:$G$205,'Wyniki zawodów'!$F$6:$F$205,$B39,'Wyniki zawodów'!$A$6:$A$205,L$4))</x:f>
        <x:v>0</x:v>
      </x:c>
      <x:c r="M39" s="28" t="n">
        <x:f>IF($B39="",0,SUMIFS('Wyniki zawodów'!$G$6:$G$205,'Wyniki zawodów'!$F$6:$F$205,$B39,'Wyniki zawodów'!$A$6:$A$205,M$4))</x:f>
        <x:v>0</x:v>
      </x:c>
      <x:c r="N39" s="28" t="n">
        <x:f>IF($B39="",0,SUMIFS('Wyniki zawodów'!$G$6:$G$205,'Wyniki zawodów'!$F$6:$F$205,$B39,'Wyniki zawodów'!$A$6:$A$205,N$4))</x:f>
        <x:v>0</x:v>
      </x:c>
      <x:c r="O39" s="28" t="n">
        <x:f>IF($B39="",0,SUMIFS('Wyniki zawodów'!$G$6:$G$205,'Wyniki zawodów'!$F$6:$F$205,$B39,'Wyniki zawodów'!$A$6:$A$205,O$4))</x:f>
        <x:v>0</x:v>
      </x:c>
      <x:c r="P39" s="28" t="n">
        <x:f>IF($B39="",0,SUMIFS('Wyniki zawodów'!$G$6:$G$205,'Wyniki zawodów'!$F$6:$F$205,$B39,'Wyniki zawodów'!$A$6:$A$205,P$4))</x:f>
        <x:v>0</x:v>
      </x:c>
      <x:c r="Q39" s="28" t="n">
        <x:f>IF($B39="",0,SUMIFS('Wyniki zawodów'!$G$6:$G$205,'Wyniki zawodów'!$F$6:$F$205,$B39,'Wyniki zawodów'!$A$6:$A$205,Q$4))</x:f>
        <x:v>0</x:v>
      </x:c>
      <x:c r="R39" s="28" t="n">
        <x:f>IF($B39="",0,SUMIFS('Wyniki zawodów'!$G$6:$G$205,'Wyniki zawodów'!$F$6:$F$205,$B39,'Wyniki zawodów'!$A$6:$A$205,R$4))</x:f>
        <x:v>0</x:v>
      </x:c>
      <x:c r="S39" s="28" t="n">
        <x:f>IF($B39="",0,SUMIFS('Wyniki zawodów'!$G$6:$G$205,'Wyniki zawodów'!$F$6:$F$205,$B39,'Wyniki zawodów'!$A$6:$A$205,S$4))</x:f>
        <x:v>0</x:v>
      </x:c>
      <x:c r="T39" s="28" t="n">
        <x:f>IF($B39="",0,SUMIFS('Wyniki zawodów'!$G$6:$G$205,'Wyniki zawodów'!$F$6:$F$205,$B39,'Wyniki zawodów'!$A$6:$A$205,T$4))</x:f>
        <x:v>0</x:v>
      </x:c>
      <x:c r="U39" s="28" t="n">
        <x:f>IF($B39="",0,SUMIFS('Wyniki zawodów'!$G$6:$G$205,'Wyniki zawodów'!$F$6:$F$205,$B39,'Wyniki zawodów'!$A$6:$A$205,U$4))</x:f>
        <x:v>0</x:v>
      </x:c>
      <x:c r="V39" s="28" t="n">
        <x:f>IF($B39="",0,SUMIFS('Wyniki zawodów'!$G$6:$G$205,'Wyniki zawodów'!$F$6:$F$205,$B39,'Wyniki zawodów'!$A$6:$A$205,V$4))</x:f>
        <x:v>0</x:v>
      </x:c>
      <x:c r="W39" s="28" t="n">
        <x:f>IF($B39="",0,SUMIFS('Wyniki zawodów'!$G$6:$G$205,'Wyniki zawodów'!$F$6:$F$205,$B39,'Wyniki zawodów'!$A$6:$A$205,W$4))</x:f>
        <x:v>0</x:v>
      </x:c>
      <x:c r="X39" s="17" t="str">
        <x:f>IF(B39="","",SUM(D39:W39))</x:f>
      </x:c>
      <x:c r="Y39" s="29" t="str">
        <x:f>IF(B39="","",LARGE(D39:W39,1)+LARGE(D39:W39,2)+LARGE(D39:W39,3)+LARGE(D39:W39,4))</x:f>
      </x:c>
      <x:c r="Z39" s="17" t="str">
        <x:f>IF(B39="","",X39-Y39)</x:f>
      </x:c>
      <x:c r="AA39" s="17" t="n">
        <x:f>IF(B39="",0,Y39*1000+(100-ROW()))</x:f>
        <x:v>0</x:v>
      </x:c>
    </x:row>
    <x:row r="40">
      <x:c r="A40" s="17" t="str">
        <x:f>IF(B40="","",1+COUNTIF($Y$6:$Y$55,"&gt;"&amp;Y40))</x:f>
      </x:c>
      <x:c r="B40" s="17" t="str">
        <x:f>IF(COUNTIF('Wyniki zawodów'!$F$6:$F$205,Zawodnicy!A40)=0,"",Zawodnicy!A40)</x:f>
      </x:c>
      <x:c r="C40" s="17" t="str">
        <x:f>IF(B40="","",COUNTIF('Wyniki zawodów'!$F$6:$F$205,B40))</x:f>
      </x:c>
      <x:c r="D40" s="28" t="n">
        <x:f>IF($B40="",0,SUMIFS('Wyniki zawodów'!$G$6:$G$205,'Wyniki zawodów'!$F$6:$F$205,$B40,'Wyniki zawodów'!$A$6:$A$205,D$4))</x:f>
        <x:v>0</x:v>
      </x:c>
      <x:c r="E40" s="28" t="n">
        <x:f>IF($B40="",0,SUMIFS('Wyniki zawodów'!$G$6:$G$205,'Wyniki zawodów'!$F$6:$F$205,$B40,'Wyniki zawodów'!$A$6:$A$205,E$4))</x:f>
        <x:v>0</x:v>
      </x:c>
      <x:c r="F40" s="28" t="n">
        <x:f>IF($B40="",0,SUMIFS('Wyniki zawodów'!$G$6:$G$205,'Wyniki zawodów'!$F$6:$F$205,$B40,'Wyniki zawodów'!$A$6:$A$205,F$4))</x:f>
        <x:v>0</x:v>
      </x:c>
      <x:c r="G40" s="28" t="n">
        <x:f>IF($B40="",0,SUMIFS('Wyniki zawodów'!$G$6:$G$205,'Wyniki zawodów'!$F$6:$F$205,$B40,'Wyniki zawodów'!$A$6:$A$205,G$4))</x:f>
        <x:v>0</x:v>
      </x:c>
      <x:c r="H40" s="28" t="n">
        <x:f>IF($B40="",0,SUMIFS('Wyniki zawodów'!$G$6:$G$205,'Wyniki zawodów'!$F$6:$F$205,$B40,'Wyniki zawodów'!$A$6:$A$205,H$4))</x:f>
        <x:v>0</x:v>
      </x:c>
      <x:c r="I40" s="28" t="n">
        <x:f>IF($B40="",0,SUMIFS('Wyniki zawodów'!$G$6:$G$205,'Wyniki zawodów'!$F$6:$F$205,$B40,'Wyniki zawodów'!$A$6:$A$205,I$4))</x:f>
        <x:v>0</x:v>
      </x:c>
      <x:c r="J40" s="28" t="n">
        <x:f>IF($B40="",0,SUMIFS('Wyniki zawodów'!$G$6:$G$205,'Wyniki zawodów'!$F$6:$F$205,$B40,'Wyniki zawodów'!$A$6:$A$205,J$4))</x:f>
        <x:v>0</x:v>
      </x:c>
      <x:c r="K40" s="28" t="n">
        <x:f>IF($B40="",0,SUMIFS('Wyniki zawodów'!$G$6:$G$205,'Wyniki zawodów'!$F$6:$F$205,$B40,'Wyniki zawodów'!$A$6:$A$205,K$4))</x:f>
        <x:v>0</x:v>
      </x:c>
      <x:c r="L40" s="28" t="n">
        <x:f>IF($B40="",0,SUMIFS('Wyniki zawodów'!$G$6:$G$205,'Wyniki zawodów'!$F$6:$F$205,$B40,'Wyniki zawodów'!$A$6:$A$205,L$4))</x:f>
        <x:v>0</x:v>
      </x:c>
      <x:c r="M40" s="28" t="n">
        <x:f>IF($B40="",0,SUMIFS('Wyniki zawodów'!$G$6:$G$205,'Wyniki zawodów'!$F$6:$F$205,$B40,'Wyniki zawodów'!$A$6:$A$205,M$4))</x:f>
        <x:v>0</x:v>
      </x:c>
      <x:c r="N40" s="28" t="n">
        <x:f>IF($B40="",0,SUMIFS('Wyniki zawodów'!$G$6:$G$205,'Wyniki zawodów'!$F$6:$F$205,$B40,'Wyniki zawodów'!$A$6:$A$205,N$4))</x:f>
        <x:v>0</x:v>
      </x:c>
      <x:c r="O40" s="28" t="n">
        <x:f>IF($B40="",0,SUMIFS('Wyniki zawodów'!$G$6:$G$205,'Wyniki zawodów'!$F$6:$F$205,$B40,'Wyniki zawodów'!$A$6:$A$205,O$4))</x:f>
        <x:v>0</x:v>
      </x:c>
      <x:c r="P40" s="28" t="n">
        <x:f>IF($B40="",0,SUMIFS('Wyniki zawodów'!$G$6:$G$205,'Wyniki zawodów'!$F$6:$F$205,$B40,'Wyniki zawodów'!$A$6:$A$205,P$4))</x:f>
        <x:v>0</x:v>
      </x:c>
      <x:c r="Q40" s="28" t="n">
        <x:f>IF($B40="",0,SUMIFS('Wyniki zawodów'!$G$6:$G$205,'Wyniki zawodów'!$F$6:$F$205,$B40,'Wyniki zawodów'!$A$6:$A$205,Q$4))</x:f>
        <x:v>0</x:v>
      </x:c>
      <x:c r="R40" s="28" t="n">
        <x:f>IF($B40="",0,SUMIFS('Wyniki zawodów'!$G$6:$G$205,'Wyniki zawodów'!$F$6:$F$205,$B40,'Wyniki zawodów'!$A$6:$A$205,R$4))</x:f>
        <x:v>0</x:v>
      </x:c>
      <x:c r="S40" s="28" t="n">
        <x:f>IF($B40="",0,SUMIFS('Wyniki zawodów'!$G$6:$G$205,'Wyniki zawodów'!$F$6:$F$205,$B40,'Wyniki zawodów'!$A$6:$A$205,S$4))</x:f>
        <x:v>0</x:v>
      </x:c>
      <x:c r="T40" s="28" t="n">
        <x:f>IF($B40="",0,SUMIFS('Wyniki zawodów'!$G$6:$G$205,'Wyniki zawodów'!$F$6:$F$205,$B40,'Wyniki zawodów'!$A$6:$A$205,T$4))</x:f>
        <x:v>0</x:v>
      </x:c>
      <x:c r="U40" s="28" t="n">
        <x:f>IF($B40="",0,SUMIFS('Wyniki zawodów'!$G$6:$G$205,'Wyniki zawodów'!$F$6:$F$205,$B40,'Wyniki zawodów'!$A$6:$A$205,U$4))</x:f>
        <x:v>0</x:v>
      </x:c>
      <x:c r="V40" s="28" t="n">
        <x:f>IF($B40="",0,SUMIFS('Wyniki zawodów'!$G$6:$G$205,'Wyniki zawodów'!$F$6:$F$205,$B40,'Wyniki zawodów'!$A$6:$A$205,V$4))</x:f>
        <x:v>0</x:v>
      </x:c>
      <x:c r="W40" s="28" t="n">
        <x:f>IF($B40="",0,SUMIFS('Wyniki zawodów'!$G$6:$G$205,'Wyniki zawodów'!$F$6:$F$205,$B40,'Wyniki zawodów'!$A$6:$A$205,W$4))</x:f>
        <x:v>0</x:v>
      </x:c>
      <x:c r="X40" s="17" t="str">
        <x:f>IF(B40="","",SUM(D40:W40))</x:f>
      </x:c>
      <x:c r="Y40" s="29" t="str">
        <x:f>IF(B40="","",LARGE(D40:W40,1)+LARGE(D40:W40,2)+LARGE(D40:W40,3)+LARGE(D40:W40,4))</x:f>
      </x:c>
      <x:c r="Z40" s="17" t="str">
        <x:f>IF(B40="","",X40-Y40)</x:f>
      </x:c>
      <x:c r="AA40" s="17" t="n">
        <x:f>IF(B40="",0,Y40*1000+(100-ROW()))</x:f>
        <x:v>0</x:v>
      </x:c>
    </x:row>
    <x:row r="41">
      <x:c r="A41" s="17" t="str">
        <x:f>IF(B41="","",1+COUNTIF($Y$6:$Y$55,"&gt;"&amp;Y41))</x:f>
      </x:c>
      <x:c r="B41" s="17" t="str">
        <x:f>IF(COUNTIF('Wyniki zawodów'!$F$6:$F$205,Zawodnicy!A41)=0,"",Zawodnicy!A41)</x:f>
      </x:c>
      <x:c r="C41" s="17" t="str">
        <x:f>IF(B41="","",COUNTIF('Wyniki zawodów'!$F$6:$F$205,B41))</x:f>
      </x:c>
      <x:c r="D41" s="28" t="n">
        <x:f>IF($B41="",0,SUMIFS('Wyniki zawodów'!$G$6:$G$205,'Wyniki zawodów'!$F$6:$F$205,$B41,'Wyniki zawodów'!$A$6:$A$205,D$4))</x:f>
        <x:v>0</x:v>
      </x:c>
      <x:c r="E41" s="28" t="n">
        <x:f>IF($B41="",0,SUMIFS('Wyniki zawodów'!$G$6:$G$205,'Wyniki zawodów'!$F$6:$F$205,$B41,'Wyniki zawodów'!$A$6:$A$205,E$4))</x:f>
        <x:v>0</x:v>
      </x:c>
      <x:c r="F41" s="28" t="n">
        <x:f>IF($B41="",0,SUMIFS('Wyniki zawodów'!$G$6:$G$205,'Wyniki zawodów'!$F$6:$F$205,$B41,'Wyniki zawodów'!$A$6:$A$205,F$4))</x:f>
        <x:v>0</x:v>
      </x:c>
      <x:c r="G41" s="28" t="n">
        <x:f>IF($B41="",0,SUMIFS('Wyniki zawodów'!$G$6:$G$205,'Wyniki zawodów'!$F$6:$F$205,$B41,'Wyniki zawodów'!$A$6:$A$205,G$4))</x:f>
        <x:v>0</x:v>
      </x:c>
      <x:c r="H41" s="28" t="n">
        <x:f>IF($B41="",0,SUMIFS('Wyniki zawodów'!$G$6:$G$205,'Wyniki zawodów'!$F$6:$F$205,$B41,'Wyniki zawodów'!$A$6:$A$205,H$4))</x:f>
        <x:v>0</x:v>
      </x:c>
      <x:c r="I41" s="28" t="n">
        <x:f>IF($B41="",0,SUMIFS('Wyniki zawodów'!$G$6:$G$205,'Wyniki zawodów'!$F$6:$F$205,$B41,'Wyniki zawodów'!$A$6:$A$205,I$4))</x:f>
        <x:v>0</x:v>
      </x:c>
      <x:c r="J41" s="28" t="n">
        <x:f>IF($B41="",0,SUMIFS('Wyniki zawodów'!$G$6:$G$205,'Wyniki zawodów'!$F$6:$F$205,$B41,'Wyniki zawodów'!$A$6:$A$205,J$4))</x:f>
        <x:v>0</x:v>
      </x:c>
      <x:c r="K41" s="28" t="n">
        <x:f>IF($B41="",0,SUMIFS('Wyniki zawodów'!$G$6:$G$205,'Wyniki zawodów'!$F$6:$F$205,$B41,'Wyniki zawodów'!$A$6:$A$205,K$4))</x:f>
        <x:v>0</x:v>
      </x:c>
      <x:c r="L41" s="28" t="n">
        <x:f>IF($B41="",0,SUMIFS('Wyniki zawodów'!$G$6:$G$205,'Wyniki zawodów'!$F$6:$F$205,$B41,'Wyniki zawodów'!$A$6:$A$205,L$4))</x:f>
        <x:v>0</x:v>
      </x:c>
      <x:c r="M41" s="28" t="n">
        <x:f>IF($B41="",0,SUMIFS('Wyniki zawodów'!$G$6:$G$205,'Wyniki zawodów'!$F$6:$F$205,$B41,'Wyniki zawodów'!$A$6:$A$205,M$4))</x:f>
        <x:v>0</x:v>
      </x:c>
      <x:c r="N41" s="28" t="n">
        <x:f>IF($B41="",0,SUMIFS('Wyniki zawodów'!$G$6:$G$205,'Wyniki zawodów'!$F$6:$F$205,$B41,'Wyniki zawodów'!$A$6:$A$205,N$4))</x:f>
        <x:v>0</x:v>
      </x:c>
      <x:c r="O41" s="28" t="n">
        <x:f>IF($B41="",0,SUMIFS('Wyniki zawodów'!$G$6:$G$205,'Wyniki zawodów'!$F$6:$F$205,$B41,'Wyniki zawodów'!$A$6:$A$205,O$4))</x:f>
        <x:v>0</x:v>
      </x:c>
      <x:c r="P41" s="28" t="n">
        <x:f>IF($B41="",0,SUMIFS('Wyniki zawodów'!$G$6:$G$205,'Wyniki zawodów'!$F$6:$F$205,$B41,'Wyniki zawodów'!$A$6:$A$205,P$4))</x:f>
        <x:v>0</x:v>
      </x:c>
      <x:c r="Q41" s="28" t="n">
        <x:f>IF($B41="",0,SUMIFS('Wyniki zawodów'!$G$6:$G$205,'Wyniki zawodów'!$F$6:$F$205,$B41,'Wyniki zawodów'!$A$6:$A$205,Q$4))</x:f>
        <x:v>0</x:v>
      </x:c>
      <x:c r="R41" s="28" t="n">
        <x:f>IF($B41="",0,SUMIFS('Wyniki zawodów'!$G$6:$G$205,'Wyniki zawodów'!$F$6:$F$205,$B41,'Wyniki zawodów'!$A$6:$A$205,R$4))</x:f>
        <x:v>0</x:v>
      </x:c>
      <x:c r="S41" s="28" t="n">
        <x:f>IF($B41="",0,SUMIFS('Wyniki zawodów'!$G$6:$G$205,'Wyniki zawodów'!$F$6:$F$205,$B41,'Wyniki zawodów'!$A$6:$A$205,S$4))</x:f>
        <x:v>0</x:v>
      </x:c>
      <x:c r="T41" s="28" t="n">
        <x:f>IF($B41="",0,SUMIFS('Wyniki zawodów'!$G$6:$G$205,'Wyniki zawodów'!$F$6:$F$205,$B41,'Wyniki zawodów'!$A$6:$A$205,T$4))</x:f>
        <x:v>0</x:v>
      </x:c>
      <x:c r="U41" s="28" t="n">
        <x:f>IF($B41="",0,SUMIFS('Wyniki zawodów'!$G$6:$G$205,'Wyniki zawodów'!$F$6:$F$205,$B41,'Wyniki zawodów'!$A$6:$A$205,U$4))</x:f>
        <x:v>0</x:v>
      </x:c>
      <x:c r="V41" s="28" t="n">
        <x:f>IF($B41="",0,SUMIFS('Wyniki zawodów'!$G$6:$G$205,'Wyniki zawodów'!$F$6:$F$205,$B41,'Wyniki zawodów'!$A$6:$A$205,V$4))</x:f>
        <x:v>0</x:v>
      </x:c>
      <x:c r="W41" s="28" t="n">
        <x:f>IF($B41="",0,SUMIFS('Wyniki zawodów'!$G$6:$G$205,'Wyniki zawodów'!$F$6:$F$205,$B41,'Wyniki zawodów'!$A$6:$A$205,W$4))</x:f>
        <x:v>0</x:v>
      </x:c>
      <x:c r="X41" s="17" t="str">
        <x:f>IF(B41="","",SUM(D41:W41))</x:f>
      </x:c>
      <x:c r="Y41" s="29" t="str">
        <x:f>IF(B41="","",LARGE(D41:W41,1)+LARGE(D41:W41,2)+LARGE(D41:W41,3)+LARGE(D41:W41,4))</x:f>
      </x:c>
      <x:c r="Z41" s="17" t="str">
        <x:f>IF(B41="","",X41-Y41)</x:f>
      </x:c>
      <x:c r="AA41" s="17" t="n">
        <x:f>IF(B41="",0,Y41*1000+(100-ROW()))</x:f>
        <x:v>0</x:v>
      </x:c>
    </x:row>
    <x:row r="42">
      <x:c r="A42" s="17" t="str">
        <x:f>IF(B42="","",1+COUNTIF($Y$6:$Y$55,"&gt;"&amp;Y42))</x:f>
      </x:c>
      <x:c r="B42" s="17" t="str">
        <x:f>IF(COUNTIF('Wyniki zawodów'!$F$6:$F$205,Zawodnicy!A42)=0,"",Zawodnicy!A42)</x:f>
      </x:c>
      <x:c r="C42" s="17" t="str">
        <x:f>IF(B42="","",COUNTIF('Wyniki zawodów'!$F$6:$F$205,B42))</x:f>
      </x:c>
      <x:c r="D42" s="28" t="n">
        <x:f>IF($B42="",0,SUMIFS('Wyniki zawodów'!$G$6:$G$205,'Wyniki zawodów'!$F$6:$F$205,$B42,'Wyniki zawodów'!$A$6:$A$205,D$4))</x:f>
        <x:v>0</x:v>
      </x:c>
      <x:c r="E42" s="28" t="n">
        <x:f>IF($B42="",0,SUMIFS('Wyniki zawodów'!$G$6:$G$205,'Wyniki zawodów'!$F$6:$F$205,$B42,'Wyniki zawodów'!$A$6:$A$205,E$4))</x:f>
        <x:v>0</x:v>
      </x:c>
      <x:c r="F42" s="28" t="n">
        <x:f>IF($B42="",0,SUMIFS('Wyniki zawodów'!$G$6:$G$205,'Wyniki zawodów'!$F$6:$F$205,$B42,'Wyniki zawodów'!$A$6:$A$205,F$4))</x:f>
        <x:v>0</x:v>
      </x:c>
      <x:c r="G42" s="28" t="n">
        <x:f>IF($B42="",0,SUMIFS('Wyniki zawodów'!$G$6:$G$205,'Wyniki zawodów'!$F$6:$F$205,$B42,'Wyniki zawodów'!$A$6:$A$205,G$4))</x:f>
        <x:v>0</x:v>
      </x:c>
      <x:c r="H42" s="28" t="n">
        <x:f>IF($B42="",0,SUMIFS('Wyniki zawodów'!$G$6:$G$205,'Wyniki zawodów'!$F$6:$F$205,$B42,'Wyniki zawodów'!$A$6:$A$205,H$4))</x:f>
        <x:v>0</x:v>
      </x:c>
      <x:c r="I42" s="28" t="n">
        <x:f>IF($B42="",0,SUMIFS('Wyniki zawodów'!$G$6:$G$205,'Wyniki zawodów'!$F$6:$F$205,$B42,'Wyniki zawodów'!$A$6:$A$205,I$4))</x:f>
        <x:v>0</x:v>
      </x:c>
      <x:c r="J42" s="28" t="n">
        <x:f>IF($B42="",0,SUMIFS('Wyniki zawodów'!$G$6:$G$205,'Wyniki zawodów'!$F$6:$F$205,$B42,'Wyniki zawodów'!$A$6:$A$205,J$4))</x:f>
        <x:v>0</x:v>
      </x:c>
      <x:c r="K42" s="28" t="n">
        <x:f>IF($B42="",0,SUMIFS('Wyniki zawodów'!$G$6:$G$205,'Wyniki zawodów'!$F$6:$F$205,$B42,'Wyniki zawodów'!$A$6:$A$205,K$4))</x:f>
        <x:v>0</x:v>
      </x:c>
      <x:c r="L42" s="28" t="n">
        <x:f>IF($B42="",0,SUMIFS('Wyniki zawodów'!$G$6:$G$205,'Wyniki zawodów'!$F$6:$F$205,$B42,'Wyniki zawodów'!$A$6:$A$205,L$4))</x:f>
        <x:v>0</x:v>
      </x:c>
      <x:c r="M42" s="28" t="n">
        <x:f>IF($B42="",0,SUMIFS('Wyniki zawodów'!$G$6:$G$205,'Wyniki zawodów'!$F$6:$F$205,$B42,'Wyniki zawodów'!$A$6:$A$205,M$4))</x:f>
        <x:v>0</x:v>
      </x:c>
      <x:c r="N42" s="28" t="n">
        <x:f>IF($B42="",0,SUMIFS('Wyniki zawodów'!$G$6:$G$205,'Wyniki zawodów'!$F$6:$F$205,$B42,'Wyniki zawodów'!$A$6:$A$205,N$4))</x:f>
        <x:v>0</x:v>
      </x:c>
      <x:c r="O42" s="28" t="n">
        <x:f>IF($B42="",0,SUMIFS('Wyniki zawodów'!$G$6:$G$205,'Wyniki zawodów'!$F$6:$F$205,$B42,'Wyniki zawodów'!$A$6:$A$205,O$4))</x:f>
        <x:v>0</x:v>
      </x:c>
      <x:c r="P42" s="28" t="n">
        <x:f>IF($B42="",0,SUMIFS('Wyniki zawodów'!$G$6:$G$205,'Wyniki zawodów'!$F$6:$F$205,$B42,'Wyniki zawodów'!$A$6:$A$205,P$4))</x:f>
        <x:v>0</x:v>
      </x:c>
      <x:c r="Q42" s="28" t="n">
        <x:f>IF($B42="",0,SUMIFS('Wyniki zawodów'!$G$6:$G$205,'Wyniki zawodów'!$F$6:$F$205,$B42,'Wyniki zawodów'!$A$6:$A$205,Q$4))</x:f>
        <x:v>0</x:v>
      </x:c>
      <x:c r="R42" s="28" t="n">
        <x:f>IF($B42="",0,SUMIFS('Wyniki zawodów'!$G$6:$G$205,'Wyniki zawodów'!$F$6:$F$205,$B42,'Wyniki zawodów'!$A$6:$A$205,R$4))</x:f>
        <x:v>0</x:v>
      </x:c>
      <x:c r="S42" s="28" t="n">
        <x:f>IF($B42="",0,SUMIFS('Wyniki zawodów'!$G$6:$G$205,'Wyniki zawodów'!$F$6:$F$205,$B42,'Wyniki zawodów'!$A$6:$A$205,S$4))</x:f>
        <x:v>0</x:v>
      </x:c>
      <x:c r="T42" s="28" t="n">
        <x:f>IF($B42="",0,SUMIFS('Wyniki zawodów'!$G$6:$G$205,'Wyniki zawodów'!$F$6:$F$205,$B42,'Wyniki zawodów'!$A$6:$A$205,T$4))</x:f>
        <x:v>0</x:v>
      </x:c>
      <x:c r="U42" s="28" t="n">
        <x:f>IF($B42="",0,SUMIFS('Wyniki zawodów'!$G$6:$G$205,'Wyniki zawodów'!$F$6:$F$205,$B42,'Wyniki zawodów'!$A$6:$A$205,U$4))</x:f>
        <x:v>0</x:v>
      </x:c>
      <x:c r="V42" s="28" t="n">
        <x:f>IF($B42="",0,SUMIFS('Wyniki zawodów'!$G$6:$G$205,'Wyniki zawodów'!$F$6:$F$205,$B42,'Wyniki zawodów'!$A$6:$A$205,V$4))</x:f>
        <x:v>0</x:v>
      </x:c>
      <x:c r="W42" s="28" t="n">
        <x:f>IF($B42="",0,SUMIFS('Wyniki zawodów'!$G$6:$G$205,'Wyniki zawodów'!$F$6:$F$205,$B42,'Wyniki zawodów'!$A$6:$A$205,W$4))</x:f>
        <x:v>0</x:v>
      </x:c>
      <x:c r="X42" s="17" t="str">
        <x:f>IF(B42="","",SUM(D42:W42))</x:f>
      </x:c>
      <x:c r="Y42" s="29" t="str">
        <x:f>IF(B42="","",LARGE(D42:W42,1)+LARGE(D42:W42,2)+LARGE(D42:W42,3)+LARGE(D42:W42,4))</x:f>
      </x:c>
      <x:c r="Z42" s="17" t="str">
        <x:f>IF(B42="","",X42-Y42)</x:f>
      </x:c>
      <x:c r="AA42" s="17" t="n">
        <x:f>IF(B42="",0,Y42*1000+(100-ROW()))</x:f>
        <x:v>0</x:v>
      </x:c>
    </x:row>
    <x:row r="43">
      <x:c r="A43" s="17" t="str">
        <x:f>IF(B43="","",1+COUNTIF($Y$6:$Y$55,"&gt;"&amp;Y43))</x:f>
      </x:c>
      <x:c r="B43" s="17" t="str">
        <x:f>IF(COUNTIF('Wyniki zawodów'!$F$6:$F$205,Zawodnicy!A43)=0,"",Zawodnicy!A43)</x:f>
      </x:c>
      <x:c r="C43" s="17" t="str">
        <x:f>IF(B43="","",COUNTIF('Wyniki zawodów'!$F$6:$F$205,B43))</x:f>
      </x:c>
      <x:c r="D43" s="28" t="n">
        <x:f>IF($B43="",0,SUMIFS('Wyniki zawodów'!$G$6:$G$205,'Wyniki zawodów'!$F$6:$F$205,$B43,'Wyniki zawodów'!$A$6:$A$205,D$4))</x:f>
        <x:v>0</x:v>
      </x:c>
      <x:c r="E43" s="28" t="n">
        <x:f>IF($B43="",0,SUMIFS('Wyniki zawodów'!$G$6:$G$205,'Wyniki zawodów'!$F$6:$F$205,$B43,'Wyniki zawodów'!$A$6:$A$205,E$4))</x:f>
        <x:v>0</x:v>
      </x:c>
      <x:c r="F43" s="28" t="n">
        <x:f>IF($B43="",0,SUMIFS('Wyniki zawodów'!$G$6:$G$205,'Wyniki zawodów'!$F$6:$F$205,$B43,'Wyniki zawodów'!$A$6:$A$205,F$4))</x:f>
        <x:v>0</x:v>
      </x:c>
      <x:c r="G43" s="28" t="n">
        <x:f>IF($B43="",0,SUMIFS('Wyniki zawodów'!$G$6:$G$205,'Wyniki zawodów'!$F$6:$F$205,$B43,'Wyniki zawodów'!$A$6:$A$205,G$4))</x:f>
        <x:v>0</x:v>
      </x:c>
      <x:c r="H43" s="28" t="n">
        <x:f>IF($B43="",0,SUMIFS('Wyniki zawodów'!$G$6:$G$205,'Wyniki zawodów'!$F$6:$F$205,$B43,'Wyniki zawodów'!$A$6:$A$205,H$4))</x:f>
        <x:v>0</x:v>
      </x:c>
      <x:c r="I43" s="28" t="n">
        <x:f>IF($B43="",0,SUMIFS('Wyniki zawodów'!$G$6:$G$205,'Wyniki zawodów'!$F$6:$F$205,$B43,'Wyniki zawodów'!$A$6:$A$205,I$4))</x:f>
        <x:v>0</x:v>
      </x:c>
      <x:c r="J43" s="28" t="n">
        <x:f>IF($B43="",0,SUMIFS('Wyniki zawodów'!$G$6:$G$205,'Wyniki zawodów'!$F$6:$F$205,$B43,'Wyniki zawodów'!$A$6:$A$205,J$4))</x:f>
        <x:v>0</x:v>
      </x:c>
      <x:c r="K43" s="28" t="n">
        <x:f>IF($B43="",0,SUMIFS('Wyniki zawodów'!$G$6:$G$205,'Wyniki zawodów'!$F$6:$F$205,$B43,'Wyniki zawodów'!$A$6:$A$205,K$4))</x:f>
        <x:v>0</x:v>
      </x:c>
      <x:c r="L43" s="28" t="n">
        <x:f>IF($B43="",0,SUMIFS('Wyniki zawodów'!$G$6:$G$205,'Wyniki zawodów'!$F$6:$F$205,$B43,'Wyniki zawodów'!$A$6:$A$205,L$4))</x:f>
        <x:v>0</x:v>
      </x:c>
      <x:c r="M43" s="28" t="n">
        <x:f>IF($B43="",0,SUMIFS('Wyniki zawodów'!$G$6:$G$205,'Wyniki zawodów'!$F$6:$F$205,$B43,'Wyniki zawodów'!$A$6:$A$205,M$4))</x:f>
        <x:v>0</x:v>
      </x:c>
      <x:c r="N43" s="28" t="n">
        <x:f>IF($B43="",0,SUMIFS('Wyniki zawodów'!$G$6:$G$205,'Wyniki zawodów'!$F$6:$F$205,$B43,'Wyniki zawodów'!$A$6:$A$205,N$4))</x:f>
        <x:v>0</x:v>
      </x:c>
      <x:c r="O43" s="28" t="n">
        <x:f>IF($B43="",0,SUMIFS('Wyniki zawodów'!$G$6:$G$205,'Wyniki zawodów'!$F$6:$F$205,$B43,'Wyniki zawodów'!$A$6:$A$205,O$4))</x:f>
        <x:v>0</x:v>
      </x:c>
      <x:c r="P43" s="28" t="n">
        <x:f>IF($B43="",0,SUMIFS('Wyniki zawodów'!$G$6:$G$205,'Wyniki zawodów'!$F$6:$F$205,$B43,'Wyniki zawodów'!$A$6:$A$205,P$4))</x:f>
        <x:v>0</x:v>
      </x:c>
      <x:c r="Q43" s="28" t="n">
        <x:f>IF($B43="",0,SUMIFS('Wyniki zawodów'!$G$6:$G$205,'Wyniki zawodów'!$F$6:$F$205,$B43,'Wyniki zawodów'!$A$6:$A$205,Q$4))</x:f>
        <x:v>0</x:v>
      </x:c>
      <x:c r="R43" s="28" t="n">
        <x:f>IF($B43="",0,SUMIFS('Wyniki zawodów'!$G$6:$G$205,'Wyniki zawodów'!$F$6:$F$205,$B43,'Wyniki zawodów'!$A$6:$A$205,R$4))</x:f>
        <x:v>0</x:v>
      </x:c>
      <x:c r="S43" s="28" t="n">
        <x:f>IF($B43="",0,SUMIFS('Wyniki zawodów'!$G$6:$G$205,'Wyniki zawodów'!$F$6:$F$205,$B43,'Wyniki zawodów'!$A$6:$A$205,S$4))</x:f>
        <x:v>0</x:v>
      </x:c>
      <x:c r="T43" s="28" t="n">
        <x:f>IF($B43="",0,SUMIFS('Wyniki zawodów'!$G$6:$G$205,'Wyniki zawodów'!$F$6:$F$205,$B43,'Wyniki zawodów'!$A$6:$A$205,T$4))</x:f>
        <x:v>0</x:v>
      </x:c>
      <x:c r="U43" s="28" t="n">
        <x:f>IF($B43="",0,SUMIFS('Wyniki zawodów'!$G$6:$G$205,'Wyniki zawodów'!$F$6:$F$205,$B43,'Wyniki zawodów'!$A$6:$A$205,U$4))</x:f>
        <x:v>0</x:v>
      </x:c>
      <x:c r="V43" s="28" t="n">
        <x:f>IF($B43="",0,SUMIFS('Wyniki zawodów'!$G$6:$G$205,'Wyniki zawodów'!$F$6:$F$205,$B43,'Wyniki zawodów'!$A$6:$A$205,V$4))</x:f>
        <x:v>0</x:v>
      </x:c>
      <x:c r="W43" s="28" t="n">
        <x:f>IF($B43="",0,SUMIFS('Wyniki zawodów'!$G$6:$G$205,'Wyniki zawodów'!$F$6:$F$205,$B43,'Wyniki zawodów'!$A$6:$A$205,W$4))</x:f>
        <x:v>0</x:v>
      </x:c>
      <x:c r="X43" s="17" t="str">
        <x:f>IF(B43="","",SUM(D43:W43))</x:f>
      </x:c>
      <x:c r="Y43" s="29" t="str">
        <x:f>IF(B43="","",LARGE(D43:W43,1)+LARGE(D43:W43,2)+LARGE(D43:W43,3)+LARGE(D43:W43,4))</x:f>
      </x:c>
      <x:c r="Z43" s="17" t="str">
        <x:f>IF(B43="","",X43-Y43)</x:f>
      </x:c>
      <x:c r="AA43" s="17" t="n">
        <x:f>IF(B43="",0,Y43*1000+(100-ROW()))</x:f>
        <x:v>0</x:v>
      </x:c>
    </x:row>
    <x:row r="44">
      <x:c r="A44" s="17" t="str">
        <x:f>IF(B44="","",1+COUNTIF($Y$6:$Y$55,"&gt;"&amp;Y44))</x:f>
      </x:c>
      <x:c r="B44" s="17" t="str">
        <x:f>IF(COUNTIF('Wyniki zawodów'!$F$6:$F$205,Zawodnicy!A44)=0,"",Zawodnicy!A44)</x:f>
      </x:c>
      <x:c r="C44" s="17" t="str">
        <x:f>IF(B44="","",COUNTIF('Wyniki zawodów'!$F$6:$F$205,B44))</x:f>
      </x:c>
      <x:c r="D44" s="28" t="n">
        <x:f>IF($B44="",0,SUMIFS('Wyniki zawodów'!$G$6:$G$205,'Wyniki zawodów'!$F$6:$F$205,$B44,'Wyniki zawodów'!$A$6:$A$205,D$4))</x:f>
        <x:v>0</x:v>
      </x:c>
      <x:c r="E44" s="28" t="n">
        <x:f>IF($B44="",0,SUMIFS('Wyniki zawodów'!$G$6:$G$205,'Wyniki zawodów'!$F$6:$F$205,$B44,'Wyniki zawodów'!$A$6:$A$205,E$4))</x:f>
        <x:v>0</x:v>
      </x:c>
      <x:c r="F44" s="28" t="n">
        <x:f>IF($B44="",0,SUMIFS('Wyniki zawodów'!$G$6:$G$205,'Wyniki zawodów'!$F$6:$F$205,$B44,'Wyniki zawodów'!$A$6:$A$205,F$4))</x:f>
        <x:v>0</x:v>
      </x:c>
      <x:c r="G44" s="28" t="n">
        <x:f>IF($B44="",0,SUMIFS('Wyniki zawodów'!$G$6:$G$205,'Wyniki zawodów'!$F$6:$F$205,$B44,'Wyniki zawodów'!$A$6:$A$205,G$4))</x:f>
        <x:v>0</x:v>
      </x:c>
      <x:c r="H44" s="28" t="n">
        <x:f>IF($B44="",0,SUMIFS('Wyniki zawodów'!$G$6:$G$205,'Wyniki zawodów'!$F$6:$F$205,$B44,'Wyniki zawodów'!$A$6:$A$205,H$4))</x:f>
        <x:v>0</x:v>
      </x:c>
      <x:c r="I44" s="28" t="n">
        <x:f>IF($B44="",0,SUMIFS('Wyniki zawodów'!$G$6:$G$205,'Wyniki zawodów'!$F$6:$F$205,$B44,'Wyniki zawodów'!$A$6:$A$205,I$4))</x:f>
        <x:v>0</x:v>
      </x:c>
      <x:c r="J44" s="28" t="n">
        <x:f>IF($B44="",0,SUMIFS('Wyniki zawodów'!$G$6:$G$205,'Wyniki zawodów'!$F$6:$F$205,$B44,'Wyniki zawodów'!$A$6:$A$205,J$4))</x:f>
        <x:v>0</x:v>
      </x:c>
      <x:c r="K44" s="28" t="n">
        <x:f>IF($B44="",0,SUMIFS('Wyniki zawodów'!$G$6:$G$205,'Wyniki zawodów'!$F$6:$F$205,$B44,'Wyniki zawodów'!$A$6:$A$205,K$4))</x:f>
        <x:v>0</x:v>
      </x:c>
      <x:c r="L44" s="28" t="n">
        <x:f>IF($B44="",0,SUMIFS('Wyniki zawodów'!$G$6:$G$205,'Wyniki zawodów'!$F$6:$F$205,$B44,'Wyniki zawodów'!$A$6:$A$205,L$4))</x:f>
        <x:v>0</x:v>
      </x:c>
      <x:c r="M44" s="28" t="n">
        <x:f>IF($B44="",0,SUMIFS('Wyniki zawodów'!$G$6:$G$205,'Wyniki zawodów'!$F$6:$F$205,$B44,'Wyniki zawodów'!$A$6:$A$205,M$4))</x:f>
        <x:v>0</x:v>
      </x:c>
      <x:c r="N44" s="28" t="n">
        <x:f>IF($B44="",0,SUMIFS('Wyniki zawodów'!$G$6:$G$205,'Wyniki zawodów'!$F$6:$F$205,$B44,'Wyniki zawodów'!$A$6:$A$205,N$4))</x:f>
        <x:v>0</x:v>
      </x:c>
      <x:c r="O44" s="28" t="n">
        <x:f>IF($B44="",0,SUMIFS('Wyniki zawodów'!$G$6:$G$205,'Wyniki zawodów'!$F$6:$F$205,$B44,'Wyniki zawodów'!$A$6:$A$205,O$4))</x:f>
        <x:v>0</x:v>
      </x:c>
      <x:c r="P44" s="28" t="n">
        <x:f>IF($B44="",0,SUMIFS('Wyniki zawodów'!$G$6:$G$205,'Wyniki zawodów'!$F$6:$F$205,$B44,'Wyniki zawodów'!$A$6:$A$205,P$4))</x:f>
        <x:v>0</x:v>
      </x:c>
      <x:c r="Q44" s="28" t="n">
        <x:f>IF($B44="",0,SUMIFS('Wyniki zawodów'!$G$6:$G$205,'Wyniki zawodów'!$F$6:$F$205,$B44,'Wyniki zawodów'!$A$6:$A$205,Q$4))</x:f>
        <x:v>0</x:v>
      </x:c>
      <x:c r="R44" s="28" t="n">
        <x:f>IF($B44="",0,SUMIFS('Wyniki zawodów'!$G$6:$G$205,'Wyniki zawodów'!$F$6:$F$205,$B44,'Wyniki zawodów'!$A$6:$A$205,R$4))</x:f>
        <x:v>0</x:v>
      </x:c>
      <x:c r="S44" s="28" t="n">
        <x:f>IF($B44="",0,SUMIFS('Wyniki zawodów'!$G$6:$G$205,'Wyniki zawodów'!$F$6:$F$205,$B44,'Wyniki zawodów'!$A$6:$A$205,S$4))</x:f>
        <x:v>0</x:v>
      </x:c>
      <x:c r="T44" s="28" t="n">
        <x:f>IF($B44="",0,SUMIFS('Wyniki zawodów'!$G$6:$G$205,'Wyniki zawodów'!$F$6:$F$205,$B44,'Wyniki zawodów'!$A$6:$A$205,T$4))</x:f>
        <x:v>0</x:v>
      </x:c>
      <x:c r="U44" s="28" t="n">
        <x:f>IF($B44="",0,SUMIFS('Wyniki zawodów'!$G$6:$G$205,'Wyniki zawodów'!$F$6:$F$205,$B44,'Wyniki zawodów'!$A$6:$A$205,U$4))</x:f>
        <x:v>0</x:v>
      </x:c>
      <x:c r="V44" s="28" t="n">
        <x:f>IF($B44="",0,SUMIFS('Wyniki zawodów'!$G$6:$G$205,'Wyniki zawodów'!$F$6:$F$205,$B44,'Wyniki zawodów'!$A$6:$A$205,V$4))</x:f>
        <x:v>0</x:v>
      </x:c>
      <x:c r="W44" s="28" t="n">
        <x:f>IF($B44="",0,SUMIFS('Wyniki zawodów'!$G$6:$G$205,'Wyniki zawodów'!$F$6:$F$205,$B44,'Wyniki zawodów'!$A$6:$A$205,W$4))</x:f>
        <x:v>0</x:v>
      </x:c>
      <x:c r="X44" s="17" t="str">
        <x:f>IF(B44="","",SUM(D44:W44))</x:f>
      </x:c>
      <x:c r="Y44" s="29" t="str">
        <x:f>IF(B44="","",LARGE(D44:W44,1)+LARGE(D44:W44,2)+LARGE(D44:W44,3)+LARGE(D44:W44,4))</x:f>
      </x:c>
      <x:c r="Z44" s="17" t="str">
        <x:f>IF(B44="","",X44-Y44)</x:f>
      </x:c>
      <x:c r="AA44" s="17" t="n">
        <x:f>IF(B44="",0,Y44*1000+(100-ROW()))</x:f>
        <x:v>0</x:v>
      </x:c>
    </x:row>
    <x:row r="45">
      <x:c r="A45" s="17" t="str">
        <x:f>IF(B45="","",1+COUNTIF($Y$6:$Y$55,"&gt;"&amp;Y45))</x:f>
      </x:c>
      <x:c r="B45" s="17" t="str">
        <x:f>IF(COUNTIF('Wyniki zawodów'!$F$6:$F$205,Zawodnicy!A45)=0,"",Zawodnicy!A45)</x:f>
      </x:c>
      <x:c r="C45" s="17" t="str">
        <x:f>IF(B45="","",COUNTIF('Wyniki zawodów'!$F$6:$F$205,B45))</x:f>
      </x:c>
      <x:c r="D45" s="28" t="n">
        <x:f>IF($B45="",0,SUMIFS('Wyniki zawodów'!$G$6:$G$205,'Wyniki zawodów'!$F$6:$F$205,$B45,'Wyniki zawodów'!$A$6:$A$205,D$4))</x:f>
        <x:v>0</x:v>
      </x:c>
      <x:c r="E45" s="28" t="n">
        <x:f>IF($B45="",0,SUMIFS('Wyniki zawodów'!$G$6:$G$205,'Wyniki zawodów'!$F$6:$F$205,$B45,'Wyniki zawodów'!$A$6:$A$205,E$4))</x:f>
        <x:v>0</x:v>
      </x:c>
      <x:c r="F45" s="28" t="n">
        <x:f>IF($B45="",0,SUMIFS('Wyniki zawodów'!$G$6:$G$205,'Wyniki zawodów'!$F$6:$F$205,$B45,'Wyniki zawodów'!$A$6:$A$205,F$4))</x:f>
        <x:v>0</x:v>
      </x:c>
      <x:c r="G45" s="28" t="n">
        <x:f>IF($B45="",0,SUMIFS('Wyniki zawodów'!$G$6:$G$205,'Wyniki zawodów'!$F$6:$F$205,$B45,'Wyniki zawodów'!$A$6:$A$205,G$4))</x:f>
        <x:v>0</x:v>
      </x:c>
      <x:c r="H45" s="28" t="n">
        <x:f>IF($B45="",0,SUMIFS('Wyniki zawodów'!$G$6:$G$205,'Wyniki zawodów'!$F$6:$F$205,$B45,'Wyniki zawodów'!$A$6:$A$205,H$4))</x:f>
        <x:v>0</x:v>
      </x:c>
      <x:c r="I45" s="28" t="n">
        <x:f>IF($B45="",0,SUMIFS('Wyniki zawodów'!$G$6:$G$205,'Wyniki zawodów'!$F$6:$F$205,$B45,'Wyniki zawodów'!$A$6:$A$205,I$4))</x:f>
        <x:v>0</x:v>
      </x:c>
      <x:c r="J45" s="28" t="n">
        <x:f>IF($B45="",0,SUMIFS('Wyniki zawodów'!$G$6:$G$205,'Wyniki zawodów'!$F$6:$F$205,$B45,'Wyniki zawodów'!$A$6:$A$205,J$4))</x:f>
        <x:v>0</x:v>
      </x:c>
      <x:c r="K45" s="28" t="n">
        <x:f>IF($B45="",0,SUMIFS('Wyniki zawodów'!$G$6:$G$205,'Wyniki zawodów'!$F$6:$F$205,$B45,'Wyniki zawodów'!$A$6:$A$205,K$4))</x:f>
        <x:v>0</x:v>
      </x:c>
      <x:c r="L45" s="28" t="n">
        <x:f>IF($B45="",0,SUMIFS('Wyniki zawodów'!$G$6:$G$205,'Wyniki zawodów'!$F$6:$F$205,$B45,'Wyniki zawodów'!$A$6:$A$205,L$4))</x:f>
        <x:v>0</x:v>
      </x:c>
      <x:c r="M45" s="28" t="n">
        <x:f>IF($B45="",0,SUMIFS('Wyniki zawodów'!$G$6:$G$205,'Wyniki zawodów'!$F$6:$F$205,$B45,'Wyniki zawodów'!$A$6:$A$205,M$4))</x:f>
        <x:v>0</x:v>
      </x:c>
      <x:c r="N45" s="28" t="n">
        <x:f>IF($B45="",0,SUMIFS('Wyniki zawodów'!$G$6:$G$205,'Wyniki zawodów'!$F$6:$F$205,$B45,'Wyniki zawodów'!$A$6:$A$205,N$4))</x:f>
        <x:v>0</x:v>
      </x:c>
      <x:c r="O45" s="28" t="n">
        <x:f>IF($B45="",0,SUMIFS('Wyniki zawodów'!$G$6:$G$205,'Wyniki zawodów'!$F$6:$F$205,$B45,'Wyniki zawodów'!$A$6:$A$205,O$4))</x:f>
        <x:v>0</x:v>
      </x:c>
      <x:c r="P45" s="28" t="n">
        <x:f>IF($B45="",0,SUMIFS('Wyniki zawodów'!$G$6:$G$205,'Wyniki zawodów'!$F$6:$F$205,$B45,'Wyniki zawodów'!$A$6:$A$205,P$4))</x:f>
        <x:v>0</x:v>
      </x:c>
      <x:c r="Q45" s="28" t="n">
        <x:f>IF($B45="",0,SUMIFS('Wyniki zawodów'!$G$6:$G$205,'Wyniki zawodów'!$F$6:$F$205,$B45,'Wyniki zawodów'!$A$6:$A$205,Q$4))</x:f>
        <x:v>0</x:v>
      </x:c>
      <x:c r="R45" s="28" t="n">
        <x:f>IF($B45="",0,SUMIFS('Wyniki zawodów'!$G$6:$G$205,'Wyniki zawodów'!$F$6:$F$205,$B45,'Wyniki zawodów'!$A$6:$A$205,R$4))</x:f>
        <x:v>0</x:v>
      </x:c>
      <x:c r="S45" s="28" t="n">
        <x:f>IF($B45="",0,SUMIFS('Wyniki zawodów'!$G$6:$G$205,'Wyniki zawodów'!$F$6:$F$205,$B45,'Wyniki zawodów'!$A$6:$A$205,S$4))</x:f>
        <x:v>0</x:v>
      </x:c>
      <x:c r="T45" s="28" t="n">
        <x:f>IF($B45="",0,SUMIFS('Wyniki zawodów'!$G$6:$G$205,'Wyniki zawodów'!$F$6:$F$205,$B45,'Wyniki zawodów'!$A$6:$A$205,T$4))</x:f>
        <x:v>0</x:v>
      </x:c>
      <x:c r="U45" s="28" t="n">
        <x:f>IF($B45="",0,SUMIFS('Wyniki zawodów'!$G$6:$G$205,'Wyniki zawodów'!$F$6:$F$205,$B45,'Wyniki zawodów'!$A$6:$A$205,U$4))</x:f>
        <x:v>0</x:v>
      </x:c>
      <x:c r="V45" s="28" t="n">
        <x:f>IF($B45="",0,SUMIFS('Wyniki zawodów'!$G$6:$G$205,'Wyniki zawodów'!$F$6:$F$205,$B45,'Wyniki zawodów'!$A$6:$A$205,V$4))</x:f>
        <x:v>0</x:v>
      </x:c>
      <x:c r="W45" s="28" t="n">
        <x:f>IF($B45="",0,SUMIFS('Wyniki zawodów'!$G$6:$G$205,'Wyniki zawodów'!$F$6:$F$205,$B45,'Wyniki zawodów'!$A$6:$A$205,W$4))</x:f>
        <x:v>0</x:v>
      </x:c>
      <x:c r="X45" s="17" t="str">
        <x:f>IF(B45="","",SUM(D45:W45))</x:f>
      </x:c>
      <x:c r="Y45" s="29" t="str">
        <x:f>IF(B45="","",LARGE(D45:W45,1)+LARGE(D45:W45,2)+LARGE(D45:W45,3)+LARGE(D45:W45,4))</x:f>
      </x:c>
      <x:c r="Z45" s="17" t="str">
        <x:f>IF(B45="","",X45-Y45)</x:f>
      </x:c>
      <x:c r="AA45" s="17" t="n">
        <x:f>IF(B45="",0,Y45*1000+(100-ROW()))</x:f>
        <x:v>0</x:v>
      </x:c>
    </x:row>
    <x:row r="46">
      <x:c r="A46" s="17" t="str">
        <x:f>IF(B46="","",1+COUNTIF($Y$6:$Y$55,"&gt;"&amp;Y46))</x:f>
      </x:c>
      <x:c r="B46" s="17" t="str">
        <x:f>IF(COUNTIF('Wyniki zawodów'!$F$6:$F$205,Zawodnicy!A46)=0,"",Zawodnicy!A46)</x:f>
      </x:c>
      <x:c r="C46" s="17" t="str">
        <x:f>IF(B46="","",COUNTIF('Wyniki zawodów'!$F$6:$F$205,B46))</x:f>
      </x:c>
      <x:c r="D46" s="28" t="n">
        <x:f>IF($B46="",0,SUMIFS('Wyniki zawodów'!$G$6:$G$205,'Wyniki zawodów'!$F$6:$F$205,$B46,'Wyniki zawodów'!$A$6:$A$205,D$4))</x:f>
        <x:v>0</x:v>
      </x:c>
      <x:c r="E46" s="28" t="n">
        <x:f>IF($B46="",0,SUMIFS('Wyniki zawodów'!$G$6:$G$205,'Wyniki zawodów'!$F$6:$F$205,$B46,'Wyniki zawodów'!$A$6:$A$205,E$4))</x:f>
        <x:v>0</x:v>
      </x:c>
      <x:c r="F46" s="28" t="n">
        <x:f>IF($B46="",0,SUMIFS('Wyniki zawodów'!$G$6:$G$205,'Wyniki zawodów'!$F$6:$F$205,$B46,'Wyniki zawodów'!$A$6:$A$205,F$4))</x:f>
        <x:v>0</x:v>
      </x:c>
      <x:c r="G46" s="28" t="n">
        <x:f>IF($B46="",0,SUMIFS('Wyniki zawodów'!$G$6:$G$205,'Wyniki zawodów'!$F$6:$F$205,$B46,'Wyniki zawodów'!$A$6:$A$205,G$4))</x:f>
        <x:v>0</x:v>
      </x:c>
      <x:c r="H46" s="28" t="n">
        <x:f>IF($B46="",0,SUMIFS('Wyniki zawodów'!$G$6:$G$205,'Wyniki zawodów'!$F$6:$F$205,$B46,'Wyniki zawodów'!$A$6:$A$205,H$4))</x:f>
        <x:v>0</x:v>
      </x:c>
      <x:c r="I46" s="28" t="n">
        <x:f>IF($B46="",0,SUMIFS('Wyniki zawodów'!$G$6:$G$205,'Wyniki zawodów'!$F$6:$F$205,$B46,'Wyniki zawodów'!$A$6:$A$205,I$4))</x:f>
        <x:v>0</x:v>
      </x:c>
      <x:c r="J46" s="28" t="n">
        <x:f>IF($B46="",0,SUMIFS('Wyniki zawodów'!$G$6:$G$205,'Wyniki zawodów'!$F$6:$F$205,$B46,'Wyniki zawodów'!$A$6:$A$205,J$4))</x:f>
        <x:v>0</x:v>
      </x:c>
      <x:c r="K46" s="28" t="n">
        <x:f>IF($B46="",0,SUMIFS('Wyniki zawodów'!$G$6:$G$205,'Wyniki zawodów'!$F$6:$F$205,$B46,'Wyniki zawodów'!$A$6:$A$205,K$4))</x:f>
        <x:v>0</x:v>
      </x:c>
      <x:c r="L46" s="28" t="n">
        <x:f>IF($B46="",0,SUMIFS('Wyniki zawodów'!$G$6:$G$205,'Wyniki zawodów'!$F$6:$F$205,$B46,'Wyniki zawodów'!$A$6:$A$205,L$4))</x:f>
        <x:v>0</x:v>
      </x:c>
      <x:c r="M46" s="28" t="n">
        <x:f>IF($B46="",0,SUMIFS('Wyniki zawodów'!$G$6:$G$205,'Wyniki zawodów'!$F$6:$F$205,$B46,'Wyniki zawodów'!$A$6:$A$205,M$4))</x:f>
        <x:v>0</x:v>
      </x:c>
      <x:c r="N46" s="28" t="n">
        <x:f>IF($B46="",0,SUMIFS('Wyniki zawodów'!$G$6:$G$205,'Wyniki zawodów'!$F$6:$F$205,$B46,'Wyniki zawodów'!$A$6:$A$205,N$4))</x:f>
        <x:v>0</x:v>
      </x:c>
      <x:c r="O46" s="28" t="n">
        <x:f>IF($B46="",0,SUMIFS('Wyniki zawodów'!$G$6:$G$205,'Wyniki zawodów'!$F$6:$F$205,$B46,'Wyniki zawodów'!$A$6:$A$205,O$4))</x:f>
        <x:v>0</x:v>
      </x:c>
      <x:c r="P46" s="28" t="n">
        <x:f>IF($B46="",0,SUMIFS('Wyniki zawodów'!$G$6:$G$205,'Wyniki zawodów'!$F$6:$F$205,$B46,'Wyniki zawodów'!$A$6:$A$205,P$4))</x:f>
        <x:v>0</x:v>
      </x:c>
      <x:c r="Q46" s="28" t="n">
        <x:f>IF($B46="",0,SUMIFS('Wyniki zawodów'!$G$6:$G$205,'Wyniki zawodów'!$F$6:$F$205,$B46,'Wyniki zawodów'!$A$6:$A$205,Q$4))</x:f>
        <x:v>0</x:v>
      </x:c>
      <x:c r="R46" s="28" t="n">
        <x:f>IF($B46="",0,SUMIFS('Wyniki zawodów'!$G$6:$G$205,'Wyniki zawodów'!$F$6:$F$205,$B46,'Wyniki zawodów'!$A$6:$A$205,R$4))</x:f>
        <x:v>0</x:v>
      </x:c>
      <x:c r="S46" s="28" t="n">
        <x:f>IF($B46="",0,SUMIFS('Wyniki zawodów'!$G$6:$G$205,'Wyniki zawodów'!$F$6:$F$205,$B46,'Wyniki zawodów'!$A$6:$A$205,S$4))</x:f>
        <x:v>0</x:v>
      </x:c>
      <x:c r="T46" s="28" t="n">
        <x:f>IF($B46="",0,SUMIFS('Wyniki zawodów'!$G$6:$G$205,'Wyniki zawodów'!$F$6:$F$205,$B46,'Wyniki zawodów'!$A$6:$A$205,T$4))</x:f>
        <x:v>0</x:v>
      </x:c>
      <x:c r="U46" s="28" t="n">
        <x:f>IF($B46="",0,SUMIFS('Wyniki zawodów'!$G$6:$G$205,'Wyniki zawodów'!$F$6:$F$205,$B46,'Wyniki zawodów'!$A$6:$A$205,U$4))</x:f>
        <x:v>0</x:v>
      </x:c>
      <x:c r="V46" s="28" t="n">
        <x:f>IF($B46="",0,SUMIFS('Wyniki zawodów'!$G$6:$G$205,'Wyniki zawodów'!$F$6:$F$205,$B46,'Wyniki zawodów'!$A$6:$A$205,V$4))</x:f>
        <x:v>0</x:v>
      </x:c>
      <x:c r="W46" s="28" t="n">
        <x:f>IF($B46="",0,SUMIFS('Wyniki zawodów'!$G$6:$G$205,'Wyniki zawodów'!$F$6:$F$205,$B46,'Wyniki zawodów'!$A$6:$A$205,W$4))</x:f>
        <x:v>0</x:v>
      </x:c>
      <x:c r="X46" s="17" t="str">
        <x:f>IF(B46="","",SUM(D46:W46))</x:f>
      </x:c>
      <x:c r="Y46" s="29" t="str">
        <x:f>IF(B46="","",LARGE(D46:W46,1)+LARGE(D46:W46,2)+LARGE(D46:W46,3)+LARGE(D46:W46,4))</x:f>
      </x:c>
      <x:c r="Z46" s="17" t="str">
        <x:f>IF(B46="","",X46-Y46)</x:f>
      </x:c>
      <x:c r="AA46" s="17" t="n">
        <x:f>IF(B46="",0,Y46*1000+(100-ROW()))</x:f>
        <x:v>0</x:v>
      </x:c>
    </x:row>
    <x:row r="47">
      <x:c r="A47" s="17" t="str">
        <x:f>IF(B47="","",1+COUNTIF($Y$6:$Y$55,"&gt;"&amp;Y47))</x:f>
      </x:c>
      <x:c r="B47" s="17" t="str">
        <x:f>IF(COUNTIF('Wyniki zawodów'!$F$6:$F$205,Zawodnicy!A47)=0,"",Zawodnicy!A47)</x:f>
      </x:c>
      <x:c r="C47" s="17" t="str">
        <x:f>IF(B47="","",COUNTIF('Wyniki zawodów'!$F$6:$F$205,B47))</x:f>
      </x:c>
      <x:c r="D47" s="28" t="n">
        <x:f>IF($B47="",0,SUMIFS('Wyniki zawodów'!$G$6:$G$205,'Wyniki zawodów'!$F$6:$F$205,$B47,'Wyniki zawodów'!$A$6:$A$205,D$4))</x:f>
        <x:v>0</x:v>
      </x:c>
      <x:c r="E47" s="28" t="n">
        <x:f>IF($B47="",0,SUMIFS('Wyniki zawodów'!$G$6:$G$205,'Wyniki zawodów'!$F$6:$F$205,$B47,'Wyniki zawodów'!$A$6:$A$205,E$4))</x:f>
        <x:v>0</x:v>
      </x:c>
      <x:c r="F47" s="28" t="n">
        <x:f>IF($B47="",0,SUMIFS('Wyniki zawodów'!$G$6:$G$205,'Wyniki zawodów'!$F$6:$F$205,$B47,'Wyniki zawodów'!$A$6:$A$205,F$4))</x:f>
        <x:v>0</x:v>
      </x:c>
      <x:c r="G47" s="28" t="n">
        <x:f>IF($B47="",0,SUMIFS('Wyniki zawodów'!$G$6:$G$205,'Wyniki zawodów'!$F$6:$F$205,$B47,'Wyniki zawodów'!$A$6:$A$205,G$4))</x:f>
        <x:v>0</x:v>
      </x:c>
      <x:c r="H47" s="28" t="n">
        <x:f>IF($B47="",0,SUMIFS('Wyniki zawodów'!$G$6:$G$205,'Wyniki zawodów'!$F$6:$F$205,$B47,'Wyniki zawodów'!$A$6:$A$205,H$4))</x:f>
        <x:v>0</x:v>
      </x:c>
      <x:c r="I47" s="28" t="n">
        <x:f>IF($B47="",0,SUMIFS('Wyniki zawodów'!$G$6:$G$205,'Wyniki zawodów'!$F$6:$F$205,$B47,'Wyniki zawodów'!$A$6:$A$205,I$4))</x:f>
        <x:v>0</x:v>
      </x:c>
      <x:c r="J47" s="28" t="n">
        <x:f>IF($B47="",0,SUMIFS('Wyniki zawodów'!$G$6:$G$205,'Wyniki zawodów'!$F$6:$F$205,$B47,'Wyniki zawodów'!$A$6:$A$205,J$4))</x:f>
        <x:v>0</x:v>
      </x:c>
      <x:c r="K47" s="28" t="n">
        <x:f>IF($B47="",0,SUMIFS('Wyniki zawodów'!$G$6:$G$205,'Wyniki zawodów'!$F$6:$F$205,$B47,'Wyniki zawodów'!$A$6:$A$205,K$4))</x:f>
        <x:v>0</x:v>
      </x:c>
      <x:c r="L47" s="28" t="n">
        <x:f>IF($B47="",0,SUMIFS('Wyniki zawodów'!$G$6:$G$205,'Wyniki zawodów'!$F$6:$F$205,$B47,'Wyniki zawodów'!$A$6:$A$205,L$4))</x:f>
        <x:v>0</x:v>
      </x:c>
      <x:c r="M47" s="28" t="n">
        <x:f>IF($B47="",0,SUMIFS('Wyniki zawodów'!$G$6:$G$205,'Wyniki zawodów'!$F$6:$F$205,$B47,'Wyniki zawodów'!$A$6:$A$205,M$4))</x:f>
        <x:v>0</x:v>
      </x:c>
      <x:c r="N47" s="28" t="n">
        <x:f>IF($B47="",0,SUMIFS('Wyniki zawodów'!$G$6:$G$205,'Wyniki zawodów'!$F$6:$F$205,$B47,'Wyniki zawodów'!$A$6:$A$205,N$4))</x:f>
        <x:v>0</x:v>
      </x:c>
      <x:c r="O47" s="28" t="n">
        <x:f>IF($B47="",0,SUMIFS('Wyniki zawodów'!$G$6:$G$205,'Wyniki zawodów'!$F$6:$F$205,$B47,'Wyniki zawodów'!$A$6:$A$205,O$4))</x:f>
        <x:v>0</x:v>
      </x:c>
      <x:c r="P47" s="28" t="n">
        <x:f>IF($B47="",0,SUMIFS('Wyniki zawodów'!$G$6:$G$205,'Wyniki zawodów'!$F$6:$F$205,$B47,'Wyniki zawodów'!$A$6:$A$205,P$4))</x:f>
        <x:v>0</x:v>
      </x:c>
      <x:c r="Q47" s="28" t="n">
        <x:f>IF($B47="",0,SUMIFS('Wyniki zawodów'!$G$6:$G$205,'Wyniki zawodów'!$F$6:$F$205,$B47,'Wyniki zawodów'!$A$6:$A$205,Q$4))</x:f>
        <x:v>0</x:v>
      </x:c>
      <x:c r="R47" s="28" t="n">
        <x:f>IF($B47="",0,SUMIFS('Wyniki zawodów'!$G$6:$G$205,'Wyniki zawodów'!$F$6:$F$205,$B47,'Wyniki zawodów'!$A$6:$A$205,R$4))</x:f>
        <x:v>0</x:v>
      </x:c>
      <x:c r="S47" s="28" t="n">
        <x:f>IF($B47="",0,SUMIFS('Wyniki zawodów'!$G$6:$G$205,'Wyniki zawodów'!$F$6:$F$205,$B47,'Wyniki zawodów'!$A$6:$A$205,S$4))</x:f>
        <x:v>0</x:v>
      </x:c>
      <x:c r="T47" s="28" t="n">
        <x:f>IF($B47="",0,SUMIFS('Wyniki zawodów'!$G$6:$G$205,'Wyniki zawodów'!$F$6:$F$205,$B47,'Wyniki zawodów'!$A$6:$A$205,T$4))</x:f>
        <x:v>0</x:v>
      </x:c>
      <x:c r="U47" s="28" t="n">
        <x:f>IF($B47="",0,SUMIFS('Wyniki zawodów'!$G$6:$G$205,'Wyniki zawodów'!$F$6:$F$205,$B47,'Wyniki zawodów'!$A$6:$A$205,U$4))</x:f>
        <x:v>0</x:v>
      </x:c>
      <x:c r="V47" s="28" t="n">
        <x:f>IF($B47="",0,SUMIFS('Wyniki zawodów'!$G$6:$G$205,'Wyniki zawodów'!$F$6:$F$205,$B47,'Wyniki zawodów'!$A$6:$A$205,V$4))</x:f>
        <x:v>0</x:v>
      </x:c>
      <x:c r="W47" s="28" t="n">
        <x:f>IF($B47="",0,SUMIFS('Wyniki zawodów'!$G$6:$G$205,'Wyniki zawodów'!$F$6:$F$205,$B47,'Wyniki zawodów'!$A$6:$A$205,W$4))</x:f>
        <x:v>0</x:v>
      </x:c>
      <x:c r="X47" s="17" t="str">
        <x:f>IF(B47="","",SUM(D47:W47))</x:f>
      </x:c>
      <x:c r="Y47" s="29" t="str">
        <x:f>IF(B47="","",LARGE(D47:W47,1)+LARGE(D47:W47,2)+LARGE(D47:W47,3)+LARGE(D47:W47,4))</x:f>
      </x:c>
      <x:c r="Z47" s="17" t="str">
        <x:f>IF(B47="","",X47-Y47)</x:f>
      </x:c>
      <x:c r="AA47" s="17" t="n">
        <x:f>IF(B47="",0,Y47*1000+(100-ROW()))</x:f>
        <x:v>0</x:v>
      </x:c>
    </x:row>
    <x:row r="48">
      <x:c r="A48" s="17" t="str">
        <x:f>IF(B48="","",1+COUNTIF($Y$6:$Y$55,"&gt;"&amp;Y48))</x:f>
      </x:c>
      <x:c r="B48" s="17" t="str">
        <x:f>IF(COUNTIF('Wyniki zawodów'!$F$6:$F$205,Zawodnicy!A48)=0,"",Zawodnicy!A48)</x:f>
      </x:c>
      <x:c r="C48" s="17" t="str">
        <x:f>IF(B48="","",COUNTIF('Wyniki zawodów'!$F$6:$F$205,B48))</x:f>
      </x:c>
      <x:c r="D48" s="28" t="n">
        <x:f>IF($B48="",0,SUMIFS('Wyniki zawodów'!$G$6:$G$205,'Wyniki zawodów'!$F$6:$F$205,$B48,'Wyniki zawodów'!$A$6:$A$205,D$4))</x:f>
        <x:v>0</x:v>
      </x:c>
      <x:c r="E48" s="28" t="n">
        <x:f>IF($B48="",0,SUMIFS('Wyniki zawodów'!$G$6:$G$205,'Wyniki zawodów'!$F$6:$F$205,$B48,'Wyniki zawodów'!$A$6:$A$205,E$4))</x:f>
        <x:v>0</x:v>
      </x:c>
      <x:c r="F48" s="28" t="n">
        <x:f>IF($B48="",0,SUMIFS('Wyniki zawodów'!$G$6:$G$205,'Wyniki zawodów'!$F$6:$F$205,$B48,'Wyniki zawodów'!$A$6:$A$205,F$4))</x:f>
        <x:v>0</x:v>
      </x:c>
      <x:c r="G48" s="28" t="n">
        <x:f>IF($B48="",0,SUMIFS('Wyniki zawodów'!$G$6:$G$205,'Wyniki zawodów'!$F$6:$F$205,$B48,'Wyniki zawodów'!$A$6:$A$205,G$4))</x:f>
        <x:v>0</x:v>
      </x:c>
      <x:c r="H48" s="28" t="n">
        <x:f>IF($B48="",0,SUMIFS('Wyniki zawodów'!$G$6:$G$205,'Wyniki zawodów'!$F$6:$F$205,$B48,'Wyniki zawodów'!$A$6:$A$205,H$4))</x:f>
        <x:v>0</x:v>
      </x:c>
      <x:c r="I48" s="28" t="n">
        <x:f>IF($B48="",0,SUMIFS('Wyniki zawodów'!$G$6:$G$205,'Wyniki zawodów'!$F$6:$F$205,$B48,'Wyniki zawodów'!$A$6:$A$205,I$4))</x:f>
        <x:v>0</x:v>
      </x:c>
      <x:c r="J48" s="28" t="n">
        <x:f>IF($B48="",0,SUMIFS('Wyniki zawodów'!$G$6:$G$205,'Wyniki zawodów'!$F$6:$F$205,$B48,'Wyniki zawodów'!$A$6:$A$205,J$4))</x:f>
        <x:v>0</x:v>
      </x:c>
      <x:c r="K48" s="28" t="n">
        <x:f>IF($B48="",0,SUMIFS('Wyniki zawodów'!$G$6:$G$205,'Wyniki zawodów'!$F$6:$F$205,$B48,'Wyniki zawodów'!$A$6:$A$205,K$4))</x:f>
        <x:v>0</x:v>
      </x:c>
      <x:c r="L48" s="28" t="n">
        <x:f>IF($B48="",0,SUMIFS('Wyniki zawodów'!$G$6:$G$205,'Wyniki zawodów'!$F$6:$F$205,$B48,'Wyniki zawodów'!$A$6:$A$205,L$4))</x:f>
        <x:v>0</x:v>
      </x:c>
      <x:c r="M48" s="28" t="n">
        <x:f>IF($B48="",0,SUMIFS('Wyniki zawodów'!$G$6:$G$205,'Wyniki zawodów'!$F$6:$F$205,$B48,'Wyniki zawodów'!$A$6:$A$205,M$4))</x:f>
        <x:v>0</x:v>
      </x:c>
      <x:c r="N48" s="28" t="n">
        <x:f>IF($B48="",0,SUMIFS('Wyniki zawodów'!$G$6:$G$205,'Wyniki zawodów'!$F$6:$F$205,$B48,'Wyniki zawodów'!$A$6:$A$205,N$4))</x:f>
        <x:v>0</x:v>
      </x:c>
      <x:c r="O48" s="28" t="n">
        <x:f>IF($B48="",0,SUMIFS('Wyniki zawodów'!$G$6:$G$205,'Wyniki zawodów'!$F$6:$F$205,$B48,'Wyniki zawodów'!$A$6:$A$205,O$4))</x:f>
        <x:v>0</x:v>
      </x:c>
      <x:c r="P48" s="28" t="n">
        <x:f>IF($B48="",0,SUMIFS('Wyniki zawodów'!$G$6:$G$205,'Wyniki zawodów'!$F$6:$F$205,$B48,'Wyniki zawodów'!$A$6:$A$205,P$4))</x:f>
        <x:v>0</x:v>
      </x:c>
      <x:c r="Q48" s="28" t="n">
        <x:f>IF($B48="",0,SUMIFS('Wyniki zawodów'!$G$6:$G$205,'Wyniki zawodów'!$F$6:$F$205,$B48,'Wyniki zawodów'!$A$6:$A$205,Q$4))</x:f>
        <x:v>0</x:v>
      </x:c>
      <x:c r="R48" s="28" t="n">
        <x:f>IF($B48="",0,SUMIFS('Wyniki zawodów'!$G$6:$G$205,'Wyniki zawodów'!$F$6:$F$205,$B48,'Wyniki zawodów'!$A$6:$A$205,R$4))</x:f>
        <x:v>0</x:v>
      </x:c>
      <x:c r="S48" s="28" t="n">
        <x:f>IF($B48="",0,SUMIFS('Wyniki zawodów'!$G$6:$G$205,'Wyniki zawodów'!$F$6:$F$205,$B48,'Wyniki zawodów'!$A$6:$A$205,S$4))</x:f>
        <x:v>0</x:v>
      </x:c>
      <x:c r="T48" s="28" t="n">
        <x:f>IF($B48="",0,SUMIFS('Wyniki zawodów'!$G$6:$G$205,'Wyniki zawodów'!$F$6:$F$205,$B48,'Wyniki zawodów'!$A$6:$A$205,T$4))</x:f>
        <x:v>0</x:v>
      </x:c>
      <x:c r="U48" s="28" t="n">
        <x:f>IF($B48="",0,SUMIFS('Wyniki zawodów'!$G$6:$G$205,'Wyniki zawodów'!$F$6:$F$205,$B48,'Wyniki zawodów'!$A$6:$A$205,U$4))</x:f>
        <x:v>0</x:v>
      </x:c>
      <x:c r="V48" s="28" t="n">
        <x:f>IF($B48="",0,SUMIFS('Wyniki zawodów'!$G$6:$G$205,'Wyniki zawodów'!$F$6:$F$205,$B48,'Wyniki zawodów'!$A$6:$A$205,V$4))</x:f>
        <x:v>0</x:v>
      </x:c>
      <x:c r="W48" s="28" t="n">
        <x:f>IF($B48="",0,SUMIFS('Wyniki zawodów'!$G$6:$G$205,'Wyniki zawodów'!$F$6:$F$205,$B48,'Wyniki zawodów'!$A$6:$A$205,W$4))</x:f>
        <x:v>0</x:v>
      </x:c>
      <x:c r="X48" s="17" t="str">
        <x:f>IF(B48="","",SUM(D48:W48))</x:f>
      </x:c>
      <x:c r="Y48" s="29" t="str">
        <x:f>IF(B48="","",LARGE(D48:W48,1)+LARGE(D48:W48,2)+LARGE(D48:W48,3)+LARGE(D48:W48,4))</x:f>
      </x:c>
      <x:c r="Z48" s="17" t="str">
        <x:f>IF(B48="","",X48-Y48)</x:f>
      </x:c>
      <x:c r="AA48" s="17" t="n">
        <x:f>IF(B48="",0,Y48*1000+(100-ROW()))</x:f>
        <x:v>0</x:v>
      </x:c>
    </x:row>
    <x:row r="49">
      <x:c r="A49" s="17" t="str">
        <x:f>IF(B49="","",1+COUNTIF($Y$6:$Y$55,"&gt;"&amp;Y49))</x:f>
      </x:c>
      <x:c r="B49" s="17" t="str">
        <x:f>IF(COUNTIF('Wyniki zawodów'!$F$6:$F$205,Zawodnicy!A49)=0,"",Zawodnicy!A49)</x:f>
      </x:c>
      <x:c r="C49" s="17" t="str">
        <x:f>IF(B49="","",COUNTIF('Wyniki zawodów'!$F$6:$F$205,B49))</x:f>
      </x:c>
      <x:c r="D49" s="28" t="n">
        <x:f>IF($B49="",0,SUMIFS('Wyniki zawodów'!$G$6:$G$205,'Wyniki zawodów'!$F$6:$F$205,$B49,'Wyniki zawodów'!$A$6:$A$205,D$4))</x:f>
        <x:v>0</x:v>
      </x:c>
      <x:c r="E49" s="28" t="n">
        <x:f>IF($B49="",0,SUMIFS('Wyniki zawodów'!$G$6:$G$205,'Wyniki zawodów'!$F$6:$F$205,$B49,'Wyniki zawodów'!$A$6:$A$205,E$4))</x:f>
        <x:v>0</x:v>
      </x:c>
      <x:c r="F49" s="28" t="n">
        <x:f>IF($B49="",0,SUMIFS('Wyniki zawodów'!$G$6:$G$205,'Wyniki zawodów'!$F$6:$F$205,$B49,'Wyniki zawodów'!$A$6:$A$205,F$4))</x:f>
        <x:v>0</x:v>
      </x:c>
      <x:c r="G49" s="28" t="n">
        <x:f>IF($B49="",0,SUMIFS('Wyniki zawodów'!$G$6:$G$205,'Wyniki zawodów'!$F$6:$F$205,$B49,'Wyniki zawodów'!$A$6:$A$205,G$4))</x:f>
        <x:v>0</x:v>
      </x:c>
      <x:c r="H49" s="28" t="n">
        <x:f>IF($B49="",0,SUMIFS('Wyniki zawodów'!$G$6:$G$205,'Wyniki zawodów'!$F$6:$F$205,$B49,'Wyniki zawodów'!$A$6:$A$205,H$4))</x:f>
        <x:v>0</x:v>
      </x:c>
      <x:c r="I49" s="28" t="n">
        <x:f>IF($B49="",0,SUMIFS('Wyniki zawodów'!$G$6:$G$205,'Wyniki zawodów'!$F$6:$F$205,$B49,'Wyniki zawodów'!$A$6:$A$205,I$4))</x:f>
        <x:v>0</x:v>
      </x:c>
      <x:c r="J49" s="28" t="n">
        <x:f>IF($B49="",0,SUMIFS('Wyniki zawodów'!$G$6:$G$205,'Wyniki zawodów'!$F$6:$F$205,$B49,'Wyniki zawodów'!$A$6:$A$205,J$4))</x:f>
        <x:v>0</x:v>
      </x:c>
      <x:c r="K49" s="28" t="n">
        <x:f>IF($B49="",0,SUMIFS('Wyniki zawodów'!$G$6:$G$205,'Wyniki zawodów'!$F$6:$F$205,$B49,'Wyniki zawodów'!$A$6:$A$205,K$4))</x:f>
        <x:v>0</x:v>
      </x:c>
      <x:c r="L49" s="28" t="n">
        <x:f>IF($B49="",0,SUMIFS('Wyniki zawodów'!$G$6:$G$205,'Wyniki zawodów'!$F$6:$F$205,$B49,'Wyniki zawodów'!$A$6:$A$205,L$4))</x:f>
        <x:v>0</x:v>
      </x:c>
      <x:c r="M49" s="28" t="n">
        <x:f>IF($B49="",0,SUMIFS('Wyniki zawodów'!$G$6:$G$205,'Wyniki zawodów'!$F$6:$F$205,$B49,'Wyniki zawodów'!$A$6:$A$205,M$4))</x:f>
        <x:v>0</x:v>
      </x:c>
      <x:c r="N49" s="28" t="n">
        <x:f>IF($B49="",0,SUMIFS('Wyniki zawodów'!$G$6:$G$205,'Wyniki zawodów'!$F$6:$F$205,$B49,'Wyniki zawodów'!$A$6:$A$205,N$4))</x:f>
        <x:v>0</x:v>
      </x:c>
      <x:c r="O49" s="28" t="n">
        <x:f>IF($B49="",0,SUMIFS('Wyniki zawodów'!$G$6:$G$205,'Wyniki zawodów'!$F$6:$F$205,$B49,'Wyniki zawodów'!$A$6:$A$205,O$4))</x:f>
        <x:v>0</x:v>
      </x:c>
      <x:c r="P49" s="28" t="n">
        <x:f>IF($B49="",0,SUMIFS('Wyniki zawodów'!$G$6:$G$205,'Wyniki zawodów'!$F$6:$F$205,$B49,'Wyniki zawodów'!$A$6:$A$205,P$4))</x:f>
        <x:v>0</x:v>
      </x:c>
      <x:c r="Q49" s="28" t="n">
        <x:f>IF($B49="",0,SUMIFS('Wyniki zawodów'!$G$6:$G$205,'Wyniki zawodów'!$F$6:$F$205,$B49,'Wyniki zawodów'!$A$6:$A$205,Q$4))</x:f>
        <x:v>0</x:v>
      </x:c>
      <x:c r="R49" s="28" t="n">
        <x:f>IF($B49="",0,SUMIFS('Wyniki zawodów'!$G$6:$G$205,'Wyniki zawodów'!$F$6:$F$205,$B49,'Wyniki zawodów'!$A$6:$A$205,R$4))</x:f>
        <x:v>0</x:v>
      </x:c>
      <x:c r="S49" s="28" t="n">
        <x:f>IF($B49="",0,SUMIFS('Wyniki zawodów'!$G$6:$G$205,'Wyniki zawodów'!$F$6:$F$205,$B49,'Wyniki zawodów'!$A$6:$A$205,S$4))</x:f>
        <x:v>0</x:v>
      </x:c>
      <x:c r="T49" s="28" t="n">
        <x:f>IF($B49="",0,SUMIFS('Wyniki zawodów'!$G$6:$G$205,'Wyniki zawodów'!$F$6:$F$205,$B49,'Wyniki zawodów'!$A$6:$A$205,T$4))</x:f>
        <x:v>0</x:v>
      </x:c>
      <x:c r="U49" s="28" t="n">
        <x:f>IF($B49="",0,SUMIFS('Wyniki zawodów'!$G$6:$G$205,'Wyniki zawodów'!$F$6:$F$205,$B49,'Wyniki zawodów'!$A$6:$A$205,U$4))</x:f>
        <x:v>0</x:v>
      </x:c>
      <x:c r="V49" s="28" t="n">
        <x:f>IF($B49="",0,SUMIFS('Wyniki zawodów'!$G$6:$G$205,'Wyniki zawodów'!$F$6:$F$205,$B49,'Wyniki zawodów'!$A$6:$A$205,V$4))</x:f>
        <x:v>0</x:v>
      </x:c>
      <x:c r="W49" s="28" t="n">
        <x:f>IF($B49="",0,SUMIFS('Wyniki zawodów'!$G$6:$G$205,'Wyniki zawodów'!$F$6:$F$205,$B49,'Wyniki zawodów'!$A$6:$A$205,W$4))</x:f>
        <x:v>0</x:v>
      </x:c>
      <x:c r="X49" s="17" t="str">
        <x:f>IF(B49="","",SUM(D49:W49))</x:f>
      </x:c>
      <x:c r="Y49" s="29" t="str">
        <x:f>IF(B49="","",LARGE(D49:W49,1)+LARGE(D49:W49,2)+LARGE(D49:W49,3)+LARGE(D49:W49,4))</x:f>
      </x:c>
      <x:c r="Z49" s="17" t="str">
        <x:f>IF(B49="","",X49-Y49)</x:f>
      </x:c>
      <x:c r="AA49" s="17" t="n">
        <x:f>IF(B49="",0,Y49*1000+(100-ROW()))</x:f>
        <x:v>0</x:v>
      </x:c>
    </x:row>
    <x:row r="50">
      <x:c r="A50" s="17" t="str">
        <x:f>IF(B50="","",1+COUNTIF($Y$6:$Y$55,"&gt;"&amp;Y50))</x:f>
      </x:c>
      <x:c r="B50" s="17" t="str">
        <x:f>IF(COUNTIF('Wyniki zawodów'!$F$6:$F$205,Zawodnicy!A50)=0,"",Zawodnicy!A50)</x:f>
      </x:c>
      <x:c r="C50" s="17" t="str">
        <x:f>IF(B50="","",COUNTIF('Wyniki zawodów'!$F$6:$F$205,B50))</x:f>
      </x:c>
      <x:c r="D50" s="28" t="n">
        <x:f>IF($B50="",0,SUMIFS('Wyniki zawodów'!$G$6:$G$205,'Wyniki zawodów'!$F$6:$F$205,$B50,'Wyniki zawodów'!$A$6:$A$205,D$4))</x:f>
        <x:v>0</x:v>
      </x:c>
      <x:c r="E50" s="28" t="n">
        <x:f>IF($B50="",0,SUMIFS('Wyniki zawodów'!$G$6:$G$205,'Wyniki zawodów'!$F$6:$F$205,$B50,'Wyniki zawodów'!$A$6:$A$205,E$4))</x:f>
        <x:v>0</x:v>
      </x:c>
      <x:c r="F50" s="28" t="n">
        <x:f>IF($B50="",0,SUMIFS('Wyniki zawodów'!$G$6:$G$205,'Wyniki zawodów'!$F$6:$F$205,$B50,'Wyniki zawodów'!$A$6:$A$205,F$4))</x:f>
        <x:v>0</x:v>
      </x:c>
      <x:c r="G50" s="28" t="n">
        <x:f>IF($B50="",0,SUMIFS('Wyniki zawodów'!$G$6:$G$205,'Wyniki zawodów'!$F$6:$F$205,$B50,'Wyniki zawodów'!$A$6:$A$205,G$4))</x:f>
        <x:v>0</x:v>
      </x:c>
      <x:c r="H50" s="28" t="n">
        <x:f>IF($B50="",0,SUMIFS('Wyniki zawodów'!$G$6:$G$205,'Wyniki zawodów'!$F$6:$F$205,$B50,'Wyniki zawodów'!$A$6:$A$205,H$4))</x:f>
        <x:v>0</x:v>
      </x:c>
      <x:c r="I50" s="28" t="n">
        <x:f>IF($B50="",0,SUMIFS('Wyniki zawodów'!$G$6:$G$205,'Wyniki zawodów'!$F$6:$F$205,$B50,'Wyniki zawodów'!$A$6:$A$205,I$4))</x:f>
        <x:v>0</x:v>
      </x:c>
      <x:c r="J50" s="28" t="n">
        <x:f>IF($B50="",0,SUMIFS('Wyniki zawodów'!$G$6:$G$205,'Wyniki zawodów'!$F$6:$F$205,$B50,'Wyniki zawodów'!$A$6:$A$205,J$4))</x:f>
        <x:v>0</x:v>
      </x:c>
      <x:c r="K50" s="28" t="n">
        <x:f>IF($B50="",0,SUMIFS('Wyniki zawodów'!$G$6:$G$205,'Wyniki zawodów'!$F$6:$F$205,$B50,'Wyniki zawodów'!$A$6:$A$205,K$4))</x:f>
        <x:v>0</x:v>
      </x:c>
      <x:c r="L50" s="28" t="n">
        <x:f>IF($B50="",0,SUMIFS('Wyniki zawodów'!$G$6:$G$205,'Wyniki zawodów'!$F$6:$F$205,$B50,'Wyniki zawodów'!$A$6:$A$205,L$4))</x:f>
        <x:v>0</x:v>
      </x:c>
      <x:c r="M50" s="28" t="n">
        <x:f>IF($B50="",0,SUMIFS('Wyniki zawodów'!$G$6:$G$205,'Wyniki zawodów'!$F$6:$F$205,$B50,'Wyniki zawodów'!$A$6:$A$205,M$4))</x:f>
        <x:v>0</x:v>
      </x:c>
      <x:c r="N50" s="28" t="n">
        <x:f>IF($B50="",0,SUMIFS('Wyniki zawodów'!$G$6:$G$205,'Wyniki zawodów'!$F$6:$F$205,$B50,'Wyniki zawodów'!$A$6:$A$205,N$4))</x:f>
        <x:v>0</x:v>
      </x:c>
      <x:c r="O50" s="28" t="n">
        <x:f>IF($B50="",0,SUMIFS('Wyniki zawodów'!$G$6:$G$205,'Wyniki zawodów'!$F$6:$F$205,$B50,'Wyniki zawodów'!$A$6:$A$205,O$4))</x:f>
        <x:v>0</x:v>
      </x:c>
      <x:c r="P50" s="28" t="n">
        <x:f>IF($B50="",0,SUMIFS('Wyniki zawodów'!$G$6:$G$205,'Wyniki zawodów'!$F$6:$F$205,$B50,'Wyniki zawodów'!$A$6:$A$205,P$4))</x:f>
        <x:v>0</x:v>
      </x:c>
      <x:c r="Q50" s="28" t="n">
        <x:f>IF($B50="",0,SUMIFS('Wyniki zawodów'!$G$6:$G$205,'Wyniki zawodów'!$F$6:$F$205,$B50,'Wyniki zawodów'!$A$6:$A$205,Q$4))</x:f>
        <x:v>0</x:v>
      </x:c>
      <x:c r="R50" s="28" t="n">
        <x:f>IF($B50="",0,SUMIFS('Wyniki zawodów'!$G$6:$G$205,'Wyniki zawodów'!$F$6:$F$205,$B50,'Wyniki zawodów'!$A$6:$A$205,R$4))</x:f>
        <x:v>0</x:v>
      </x:c>
      <x:c r="S50" s="28" t="n">
        <x:f>IF($B50="",0,SUMIFS('Wyniki zawodów'!$G$6:$G$205,'Wyniki zawodów'!$F$6:$F$205,$B50,'Wyniki zawodów'!$A$6:$A$205,S$4))</x:f>
        <x:v>0</x:v>
      </x:c>
      <x:c r="T50" s="28" t="n">
        <x:f>IF($B50="",0,SUMIFS('Wyniki zawodów'!$G$6:$G$205,'Wyniki zawodów'!$F$6:$F$205,$B50,'Wyniki zawodów'!$A$6:$A$205,T$4))</x:f>
        <x:v>0</x:v>
      </x:c>
      <x:c r="U50" s="28" t="n">
        <x:f>IF($B50="",0,SUMIFS('Wyniki zawodów'!$G$6:$G$205,'Wyniki zawodów'!$F$6:$F$205,$B50,'Wyniki zawodów'!$A$6:$A$205,U$4))</x:f>
        <x:v>0</x:v>
      </x:c>
      <x:c r="V50" s="28" t="n">
        <x:f>IF($B50="",0,SUMIFS('Wyniki zawodów'!$G$6:$G$205,'Wyniki zawodów'!$F$6:$F$205,$B50,'Wyniki zawodów'!$A$6:$A$205,V$4))</x:f>
        <x:v>0</x:v>
      </x:c>
      <x:c r="W50" s="28" t="n">
        <x:f>IF($B50="",0,SUMIFS('Wyniki zawodów'!$G$6:$G$205,'Wyniki zawodów'!$F$6:$F$205,$B50,'Wyniki zawodów'!$A$6:$A$205,W$4))</x:f>
        <x:v>0</x:v>
      </x:c>
      <x:c r="X50" s="17" t="str">
        <x:f>IF(B50="","",SUM(D50:W50))</x:f>
      </x:c>
      <x:c r="Y50" s="29" t="str">
        <x:f>IF(B50="","",LARGE(D50:W50,1)+LARGE(D50:W50,2)+LARGE(D50:W50,3)+LARGE(D50:W50,4))</x:f>
      </x:c>
      <x:c r="Z50" s="17" t="str">
        <x:f>IF(B50="","",X50-Y50)</x:f>
      </x:c>
      <x:c r="AA50" s="17" t="n">
        <x:f>IF(B50="",0,Y50*1000+(100-ROW()))</x:f>
        <x:v>0</x:v>
      </x:c>
    </x:row>
    <x:row r="51">
      <x:c r="A51" s="17" t="str">
        <x:f>IF(B51="","",1+COUNTIF($Y$6:$Y$55,"&gt;"&amp;Y51))</x:f>
      </x:c>
      <x:c r="B51" s="17" t="str">
        <x:f>IF(COUNTIF('Wyniki zawodów'!$F$6:$F$205,Zawodnicy!A51)=0,"",Zawodnicy!A51)</x:f>
      </x:c>
      <x:c r="C51" s="17" t="str">
        <x:f>IF(B51="","",COUNTIF('Wyniki zawodów'!$F$6:$F$205,B51))</x:f>
      </x:c>
      <x:c r="D51" s="28" t="n">
        <x:f>IF($B51="",0,SUMIFS('Wyniki zawodów'!$G$6:$G$205,'Wyniki zawodów'!$F$6:$F$205,$B51,'Wyniki zawodów'!$A$6:$A$205,D$4))</x:f>
        <x:v>0</x:v>
      </x:c>
      <x:c r="E51" s="28" t="n">
        <x:f>IF($B51="",0,SUMIFS('Wyniki zawodów'!$G$6:$G$205,'Wyniki zawodów'!$F$6:$F$205,$B51,'Wyniki zawodów'!$A$6:$A$205,E$4))</x:f>
        <x:v>0</x:v>
      </x:c>
      <x:c r="F51" s="28" t="n">
        <x:f>IF($B51="",0,SUMIFS('Wyniki zawodów'!$G$6:$G$205,'Wyniki zawodów'!$F$6:$F$205,$B51,'Wyniki zawodów'!$A$6:$A$205,F$4))</x:f>
        <x:v>0</x:v>
      </x:c>
      <x:c r="G51" s="28" t="n">
        <x:f>IF($B51="",0,SUMIFS('Wyniki zawodów'!$G$6:$G$205,'Wyniki zawodów'!$F$6:$F$205,$B51,'Wyniki zawodów'!$A$6:$A$205,G$4))</x:f>
        <x:v>0</x:v>
      </x:c>
      <x:c r="H51" s="28" t="n">
        <x:f>IF($B51="",0,SUMIFS('Wyniki zawodów'!$G$6:$G$205,'Wyniki zawodów'!$F$6:$F$205,$B51,'Wyniki zawodów'!$A$6:$A$205,H$4))</x:f>
        <x:v>0</x:v>
      </x:c>
      <x:c r="I51" s="28" t="n">
        <x:f>IF($B51="",0,SUMIFS('Wyniki zawodów'!$G$6:$G$205,'Wyniki zawodów'!$F$6:$F$205,$B51,'Wyniki zawodów'!$A$6:$A$205,I$4))</x:f>
        <x:v>0</x:v>
      </x:c>
      <x:c r="J51" s="28" t="n">
        <x:f>IF($B51="",0,SUMIFS('Wyniki zawodów'!$G$6:$G$205,'Wyniki zawodów'!$F$6:$F$205,$B51,'Wyniki zawodów'!$A$6:$A$205,J$4))</x:f>
        <x:v>0</x:v>
      </x:c>
      <x:c r="K51" s="28" t="n">
        <x:f>IF($B51="",0,SUMIFS('Wyniki zawodów'!$G$6:$G$205,'Wyniki zawodów'!$F$6:$F$205,$B51,'Wyniki zawodów'!$A$6:$A$205,K$4))</x:f>
        <x:v>0</x:v>
      </x:c>
      <x:c r="L51" s="28" t="n">
        <x:f>IF($B51="",0,SUMIFS('Wyniki zawodów'!$G$6:$G$205,'Wyniki zawodów'!$F$6:$F$205,$B51,'Wyniki zawodów'!$A$6:$A$205,L$4))</x:f>
        <x:v>0</x:v>
      </x:c>
      <x:c r="M51" s="28" t="n">
        <x:f>IF($B51="",0,SUMIFS('Wyniki zawodów'!$G$6:$G$205,'Wyniki zawodów'!$F$6:$F$205,$B51,'Wyniki zawodów'!$A$6:$A$205,M$4))</x:f>
        <x:v>0</x:v>
      </x:c>
      <x:c r="N51" s="28" t="n">
        <x:f>IF($B51="",0,SUMIFS('Wyniki zawodów'!$G$6:$G$205,'Wyniki zawodów'!$F$6:$F$205,$B51,'Wyniki zawodów'!$A$6:$A$205,N$4))</x:f>
        <x:v>0</x:v>
      </x:c>
      <x:c r="O51" s="28" t="n">
        <x:f>IF($B51="",0,SUMIFS('Wyniki zawodów'!$G$6:$G$205,'Wyniki zawodów'!$F$6:$F$205,$B51,'Wyniki zawodów'!$A$6:$A$205,O$4))</x:f>
        <x:v>0</x:v>
      </x:c>
      <x:c r="P51" s="28" t="n">
        <x:f>IF($B51="",0,SUMIFS('Wyniki zawodów'!$G$6:$G$205,'Wyniki zawodów'!$F$6:$F$205,$B51,'Wyniki zawodów'!$A$6:$A$205,P$4))</x:f>
        <x:v>0</x:v>
      </x:c>
      <x:c r="Q51" s="28" t="n">
        <x:f>IF($B51="",0,SUMIFS('Wyniki zawodów'!$G$6:$G$205,'Wyniki zawodów'!$F$6:$F$205,$B51,'Wyniki zawodów'!$A$6:$A$205,Q$4))</x:f>
        <x:v>0</x:v>
      </x:c>
      <x:c r="R51" s="28" t="n">
        <x:f>IF($B51="",0,SUMIFS('Wyniki zawodów'!$G$6:$G$205,'Wyniki zawodów'!$F$6:$F$205,$B51,'Wyniki zawodów'!$A$6:$A$205,R$4))</x:f>
        <x:v>0</x:v>
      </x:c>
      <x:c r="S51" s="28" t="n">
        <x:f>IF($B51="",0,SUMIFS('Wyniki zawodów'!$G$6:$G$205,'Wyniki zawodów'!$F$6:$F$205,$B51,'Wyniki zawodów'!$A$6:$A$205,S$4))</x:f>
        <x:v>0</x:v>
      </x:c>
      <x:c r="T51" s="28" t="n">
        <x:f>IF($B51="",0,SUMIFS('Wyniki zawodów'!$G$6:$G$205,'Wyniki zawodów'!$F$6:$F$205,$B51,'Wyniki zawodów'!$A$6:$A$205,T$4))</x:f>
        <x:v>0</x:v>
      </x:c>
      <x:c r="U51" s="28" t="n">
        <x:f>IF($B51="",0,SUMIFS('Wyniki zawodów'!$G$6:$G$205,'Wyniki zawodów'!$F$6:$F$205,$B51,'Wyniki zawodów'!$A$6:$A$205,U$4))</x:f>
        <x:v>0</x:v>
      </x:c>
      <x:c r="V51" s="28" t="n">
        <x:f>IF($B51="",0,SUMIFS('Wyniki zawodów'!$G$6:$G$205,'Wyniki zawodów'!$F$6:$F$205,$B51,'Wyniki zawodów'!$A$6:$A$205,V$4))</x:f>
        <x:v>0</x:v>
      </x:c>
      <x:c r="W51" s="28" t="n">
        <x:f>IF($B51="",0,SUMIFS('Wyniki zawodów'!$G$6:$G$205,'Wyniki zawodów'!$F$6:$F$205,$B51,'Wyniki zawodów'!$A$6:$A$205,W$4))</x:f>
        <x:v>0</x:v>
      </x:c>
      <x:c r="X51" s="17" t="str">
        <x:f>IF(B51="","",SUM(D51:W51))</x:f>
      </x:c>
      <x:c r="Y51" s="29" t="str">
        <x:f>IF(B51="","",LARGE(D51:W51,1)+LARGE(D51:W51,2)+LARGE(D51:W51,3)+LARGE(D51:W51,4))</x:f>
      </x:c>
      <x:c r="Z51" s="17" t="str">
        <x:f>IF(B51="","",X51-Y51)</x:f>
      </x:c>
      <x:c r="AA51" s="17" t="n">
        <x:f>IF(B51="",0,Y51*1000+(100-ROW()))</x:f>
        <x:v>0</x:v>
      </x:c>
    </x:row>
    <x:row r="52">
      <x:c r="A52" s="17" t="str">
        <x:f>IF(B52="","",1+COUNTIF($Y$6:$Y$55,"&gt;"&amp;Y52))</x:f>
      </x:c>
      <x:c r="B52" s="17" t="str">
        <x:f>IF(COUNTIF('Wyniki zawodów'!$F$6:$F$205,Zawodnicy!A52)=0,"",Zawodnicy!A52)</x:f>
      </x:c>
      <x:c r="C52" s="17" t="str">
        <x:f>IF(B52="","",COUNTIF('Wyniki zawodów'!$F$6:$F$205,B52))</x:f>
      </x:c>
      <x:c r="D52" s="28" t="n">
        <x:f>IF($B52="",0,SUMIFS('Wyniki zawodów'!$G$6:$G$205,'Wyniki zawodów'!$F$6:$F$205,$B52,'Wyniki zawodów'!$A$6:$A$205,D$4))</x:f>
        <x:v>0</x:v>
      </x:c>
      <x:c r="E52" s="28" t="n">
        <x:f>IF($B52="",0,SUMIFS('Wyniki zawodów'!$G$6:$G$205,'Wyniki zawodów'!$F$6:$F$205,$B52,'Wyniki zawodów'!$A$6:$A$205,E$4))</x:f>
        <x:v>0</x:v>
      </x:c>
      <x:c r="F52" s="28" t="n">
        <x:f>IF($B52="",0,SUMIFS('Wyniki zawodów'!$G$6:$G$205,'Wyniki zawodów'!$F$6:$F$205,$B52,'Wyniki zawodów'!$A$6:$A$205,F$4))</x:f>
        <x:v>0</x:v>
      </x:c>
      <x:c r="G52" s="28" t="n">
        <x:f>IF($B52="",0,SUMIFS('Wyniki zawodów'!$G$6:$G$205,'Wyniki zawodów'!$F$6:$F$205,$B52,'Wyniki zawodów'!$A$6:$A$205,G$4))</x:f>
        <x:v>0</x:v>
      </x:c>
      <x:c r="H52" s="28" t="n">
        <x:f>IF($B52="",0,SUMIFS('Wyniki zawodów'!$G$6:$G$205,'Wyniki zawodów'!$F$6:$F$205,$B52,'Wyniki zawodów'!$A$6:$A$205,H$4))</x:f>
        <x:v>0</x:v>
      </x:c>
      <x:c r="I52" s="28" t="n">
        <x:f>IF($B52="",0,SUMIFS('Wyniki zawodów'!$G$6:$G$205,'Wyniki zawodów'!$F$6:$F$205,$B52,'Wyniki zawodów'!$A$6:$A$205,I$4))</x:f>
        <x:v>0</x:v>
      </x:c>
      <x:c r="J52" s="28" t="n">
        <x:f>IF($B52="",0,SUMIFS('Wyniki zawodów'!$G$6:$G$205,'Wyniki zawodów'!$F$6:$F$205,$B52,'Wyniki zawodów'!$A$6:$A$205,J$4))</x:f>
        <x:v>0</x:v>
      </x:c>
      <x:c r="K52" s="28" t="n">
        <x:f>IF($B52="",0,SUMIFS('Wyniki zawodów'!$G$6:$G$205,'Wyniki zawodów'!$F$6:$F$205,$B52,'Wyniki zawodów'!$A$6:$A$205,K$4))</x:f>
        <x:v>0</x:v>
      </x:c>
      <x:c r="L52" s="28" t="n">
        <x:f>IF($B52="",0,SUMIFS('Wyniki zawodów'!$G$6:$G$205,'Wyniki zawodów'!$F$6:$F$205,$B52,'Wyniki zawodów'!$A$6:$A$205,L$4))</x:f>
        <x:v>0</x:v>
      </x:c>
      <x:c r="M52" s="28" t="n">
        <x:f>IF($B52="",0,SUMIFS('Wyniki zawodów'!$G$6:$G$205,'Wyniki zawodów'!$F$6:$F$205,$B52,'Wyniki zawodów'!$A$6:$A$205,M$4))</x:f>
        <x:v>0</x:v>
      </x:c>
      <x:c r="N52" s="28" t="n">
        <x:f>IF($B52="",0,SUMIFS('Wyniki zawodów'!$G$6:$G$205,'Wyniki zawodów'!$F$6:$F$205,$B52,'Wyniki zawodów'!$A$6:$A$205,N$4))</x:f>
        <x:v>0</x:v>
      </x:c>
      <x:c r="O52" s="28" t="n">
        <x:f>IF($B52="",0,SUMIFS('Wyniki zawodów'!$G$6:$G$205,'Wyniki zawodów'!$F$6:$F$205,$B52,'Wyniki zawodów'!$A$6:$A$205,O$4))</x:f>
        <x:v>0</x:v>
      </x:c>
      <x:c r="P52" s="28" t="n">
        <x:f>IF($B52="",0,SUMIFS('Wyniki zawodów'!$G$6:$G$205,'Wyniki zawodów'!$F$6:$F$205,$B52,'Wyniki zawodów'!$A$6:$A$205,P$4))</x:f>
        <x:v>0</x:v>
      </x:c>
      <x:c r="Q52" s="28" t="n">
        <x:f>IF($B52="",0,SUMIFS('Wyniki zawodów'!$G$6:$G$205,'Wyniki zawodów'!$F$6:$F$205,$B52,'Wyniki zawodów'!$A$6:$A$205,Q$4))</x:f>
        <x:v>0</x:v>
      </x:c>
      <x:c r="R52" s="28" t="n">
        <x:f>IF($B52="",0,SUMIFS('Wyniki zawodów'!$G$6:$G$205,'Wyniki zawodów'!$F$6:$F$205,$B52,'Wyniki zawodów'!$A$6:$A$205,R$4))</x:f>
        <x:v>0</x:v>
      </x:c>
      <x:c r="S52" s="28" t="n">
        <x:f>IF($B52="",0,SUMIFS('Wyniki zawodów'!$G$6:$G$205,'Wyniki zawodów'!$F$6:$F$205,$B52,'Wyniki zawodów'!$A$6:$A$205,S$4))</x:f>
        <x:v>0</x:v>
      </x:c>
      <x:c r="T52" s="28" t="n">
        <x:f>IF($B52="",0,SUMIFS('Wyniki zawodów'!$G$6:$G$205,'Wyniki zawodów'!$F$6:$F$205,$B52,'Wyniki zawodów'!$A$6:$A$205,T$4))</x:f>
        <x:v>0</x:v>
      </x:c>
      <x:c r="U52" s="28" t="n">
        <x:f>IF($B52="",0,SUMIFS('Wyniki zawodów'!$G$6:$G$205,'Wyniki zawodów'!$F$6:$F$205,$B52,'Wyniki zawodów'!$A$6:$A$205,U$4))</x:f>
        <x:v>0</x:v>
      </x:c>
      <x:c r="V52" s="28" t="n">
        <x:f>IF($B52="",0,SUMIFS('Wyniki zawodów'!$G$6:$G$205,'Wyniki zawodów'!$F$6:$F$205,$B52,'Wyniki zawodów'!$A$6:$A$205,V$4))</x:f>
        <x:v>0</x:v>
      </x:c>
      <x:c r="W52" s="28" t="n">
        <x:f>IF($B52="",0,SUMIFS('Wyniki zawodów'!$G$6:$G$205,'Wyniki zawodów'!$F$6:$F$205,$B52,'Wyniki zawodów'!$A$6:$A$205,W$4))</x:f>
        <x:v>0</x:v>
      </x:c>
      <x:c r="X52" s="17" t="str">
        <x:f>IF(B52="","",SUM(D52:W52))</x:f>
      </x:c>
      <x:c r="Y52" s="29" t="str">
        <x:f>IF(B52="","",LARGE(D52:W52,1)+LARGE(D52:W52,2)+LARGE(D52:W52,3)+LARGE(D52:W52,4))</x:f>
      </x:c>
      <x:c r="Z52" s="17" t="str">
        <x:f>IF(B52="","",X52-Y52)</x:f>
      </x:c>
      <x:c r="AA52" s="17" t="n">
        <x:f>IF(B52="",0,Y52*1000+(100-ROW()))</x:f>
        <x:v>0</x:v>
      </x:c>
    </x:row>
    <x:row r="53">
      <x:c r="A53" s="17" t="str">
        <x:f>IF(B53="","",1+COUNTIF($Y$6:$Y$55,"&gt;"&amp;Y53))</x:f>
      </x:c>
      <x:c r="B53" s="17" t="str">
        <x:f>IF(COUNTIF('Wyniki zawodów'!$F$6:$F$205,Zawodnicy!A53)=0,"",Zawodnicy!A53)</x:f>
      </x:c>
      <x:c r="C53" s="17" t="str">
        <x:f>IF(B53="","",COUNTIF('Wyniki zawodów'!$F$6:$F$205,B53))</x:f>
      </x:c>
      <x:c r="D53" s="28" t="n">
        <x:f>IF($B53="",0,SUMIFS('Wyniki zawodów'!$G$6:$G$205,'Wyniki zawodów'!$F$6:$F$205,$B53,'Wyniki zawodów'!$A$6:$A$205,D$4))</x:f>
        <x:v>0</x:v>
      </x:c>
      <x:c r="E53" s="28" t="n">
        <x:f>IF($B53="",0,SUMIFS('Wyniki zawodów'!$G$6:$G$205,'Wyniki zawodów'!$F$6:$F$205,$B53,'Wyniki zawodów'!$A$6:$A$205,E$4))</x:f>
        <x:v>0</x:v>
      </x:c>
      <x:c r="F53" s="28" t="n">
        <x:f>IF($B53="",0,SUMIFS('Wyniki zawodów'!$G$6:$G$205,'Wyniki zawodów'!$F$6:$F$205,$B53,'Wyniki zawodów'!$A$6:$A$205,F$4))</x:f>
        <x:v>0</x:v>
      </x:c>
      <x:c r="G53" s="28" t="n">
        <x:f>IF($B53="",0,SUMIFS('Wyniki zawodów'!$G$6:$G$205,'Wyniki zawodów'!$F$6:$F$205,$B53,'Wyniki zawodów'!$A$6:$A$205,G$4))</x:f>
        <x:v>0</x:v>
      </x:c>
      <x:c r="H53" s="28" t="n">
        <x:f>IF($B53="",0,SUMIFS('Wyniki zawodów'!$G$6:$G$205,'Wyniki zawodów'!$F$6:$F$205,$B53,'Wyniki zawodów'!$A$6:$A$205,H$4))</x:f>
        <x:v>0</x:v>
      </x:c>
      <x:c r="I53" s="28" t="n">
        <x:f>IF($B53="",0,SUMIFS('Wyniki zawodów'!$G$6:$G$205,'Wyniki zawodów'!$F$6:$F$205,$B53,'Wyniki zawodów'!$A$6:$A$205,I$4))</x:f>
        <x:v>0</x:v>
      </x:c>
      <x:c r="J53" s="28" t="n">
        <x:f>IF($B53="",0,SUMIFS('Wyniki zawodów'!$G$6:$G$205,'Wyniki zawodów'!$F$6:$F$205,$B53,'Wyniki zawodów'!$A$6:$A$205,J$4))</x:f>
        <x:v>0</x:v>
      </x:c>
      <x:c r="K53" s="28" t="n">
        <x:f>IF($B53="",0,SUMIFS('Wyniki zawodów'!$G$6:$G$205,'Wyniki zawodów'!$F$6:$F$205,$B53,'Wyniki zawodów'!$A$6:$A$205,K$4))</x:f>
        <x:v>0</x:v>
      </x:c>
      <x:c r="L53" s="28" t="n">
        <x:f>IF($B53="",0,SUMIFS('Wyniki zawodów'!$G$6:$G$205,'Wyniki zawodów'!$F$6:$F$205,$B53,'Wyniki zawodów'!$A$6:$A$205,L$4))</x:f>
        <x:v>0</x:v>
      </x:c>
      <x:c r="M53" s="28" t="n">
        <x:f>IF($B53="",0,SUMIFS('Wyniki zawodów'!$G$6:$G$205,'Wyniki zawodów'!$F$6:$F$205,$B53,'Wyniki zawodów'!$A$6:$A$205,M$4))</x:f>
        <x:v>0</x:v>
      </x:c>
      <x:c r="N53" s="28" t="n">
        <x:f>IF($B53="",0,SUMIFS('Wyniki zawodów'!$G$6:$G$205,'Wyniki zawodów'!$F$6:$F$205,$B53,'Wyniki zawodów'!$A$6:$A$205,N$4))</x:f>
        <x:v>0</x:v>
      </x:c>
      <x:c r="O53" s="28" t="n">
        <x:f>IF($B53="",0,SUMIFS('Wyniki zawodów'!$G$6:$G$205,'Wyniki zawodów'!$F$6:$F$205,$B53,'Wyniki zawodów'!$A$6:$A$205,O$4))</x:f>
        <x:v>0</x:v>
      </x:c>
      <x:c r="P53" s="28" t="n">
        <x:f>IF($B53="",0,SUMIFS('Wyniki zawodów'!$G$6:$G$205,'Wyniki zawodów'!$F$6:$F$205,$B53,'Wyniki zawodów'!$A$6:$A$205,P$4))</x:f>
        <x:v>0</x:v>
      </x:c>
      <x:c r="Q53" s="28" t="n">
        <x:f>IF($B53="",0,SUMIFS('Wyniki zawodów'!$G$6:$G$205,'Wyniki zawodów'!$F$6:$F$205,$B53,'Wyniki zawodów'!$A$6:$A$205,Q$4))</x:f>
        <x:v>0</x:v>
      </x:c>
      <x:c r="R53" s="28" t="n">
        <x:f>IF($B53="",0,SUMIFS('Wyniki zawodów'!$G$6:$G$205,'Wyniki zawodów'!$F$6:$F$205,$B53,'Wyniki zawodów'!$A$6:$A$205,R$4))</x:f>
        <x:v>0</x:v>
      </x:c>
      <x:c r="S53" s="28" t="n">
        <x:f>IF($B53="",0,SUMIFS('Wyniki zawodów'!$G$6:$G$205,'Wyniki zawodów'!$F$6:$F$205,$B53,'Wyniki zawodów'!$A$6:$A$205,S$4))</x:f>
        <x:v>0</x:v>
      </x:c>
      <x:c r="T53" s="28" t="n">
        <x:f>IF($B53="",0,SUMIFS('Wyniki zawodów'!$G$6:$G$205,'Wyniki zawodów'!$F$6:$F$205,$B53,'Wyniki zawodów'!$A$6:$A$205,T$4))</x:f>
        <x:v>0</x:v>
      </x:c>
      <x:c r="U53" s="28" t="n">
        <x:f>IF($B53="",0,SUMIFS('Wyniki zawodów'!$G$6:$G$205,'Wyniki zawodów'!$F$6:$F$205,$B53,'Wyniki zawodów'!$A$6:$A$205,U$4))</x:f>
        <x:v>0</x:v>
      </x:c>
      <x:c r="V53" s="28" t="n">
        <x:f>IF($B53="",0,SUMIFS('Wyniki zawodów'!$G$6:$G$205,'Wyniki zawodów'!$F$6:$F$205,$B53,'Wyniki zawodów'!$A$6:$A$205,V$4))</x:f>
        <x:v>0</x:v>
      </x:c>
      <x:c r="W53" s="28" t="n">
        <x:f>IF($B53="",0,SUMIFS('Wyniki zawodów'!$G$6:$G$205,'Wyniki zawodów'!$F$6:$F$205,$B53,'Wyniki zawodów'!$A$6:$A$205,W$4))</x:f>
        <x:v>0</x:v>
      </x:c>
      <x:c r="X53" s="17" t="str">
        <x:f>IF(B53="","",SUM(D53:W53))</x:f>
      </x:c>
      <x:c r="Y53" s="29" t="str">
        <x:f>IF(B53="","",LARGE(D53:W53,1)+LARGE(D53:W53,2)+LARGE(D53:W53,3)+LARGE(D53:W53,4))</x:f>
      </x:c>
      <x:c r="Z53" s="17" t="str">
        <x:f>IF(B53="","",X53-Y53)</x:f>
      </x:c>
      <x:c r="AA53" s="17" t="n">
        <x:f>IF(B53="",0,Y53*1000+(100-ROW()))</x:f>
        <x:v>0</x:v>
      </x:c>
    </x:row>
    <x:row r="54">
      <x:c r="A54" s="17" t="str">
        <x:f>IF(B54="","",1+COUNTIF($Y$6:$Y$55,"&gt;"&amp;Y54))</x:f>
      </x:c>
      <x:c r="B54" s="17" t="str">
        <x:f>IF(COUNTIF('Wyniki zawodów'!$F$6:$F$205,Zawodnicy!A54)=0,"",Zawodnicy!A54)</x:f>
      </x:c>
      <x:c r="C54" s="17" t="str">
        <x:f>IF(B54="","",COUNTIF('Wyniki zawodów'!$F$6:$F$205,B54))</x:f>
      </x:c>
      <x:c r="D54" s="28" t="n">
        <x:f>IF($B54="",0,SUMIFS('Wyniki zawodów'!$G$6:$G$205,'Wyniki zawodów'!$F$6:$F$205,$B54,'Wyniki zawodów'!$A$6:$A$205,D$4))</x:f>
        <x:v>0</x:v>
      </x:c>
      <x:c r="E54" s="28" t="n">
        <x:f>IF($B54="",0,SUMIFS('Wyniki zawodów'!$G$6:$G$205,'Wyniki zawodów'!$F$6:$F$205,$B54,'Wyniki zawodów'!$A$6:$A$205,E$4))</x:f>
        <x:v>0</x:v>
      </x:c>
      <x:c r="F54" s="28" t="n">
        <x:f>IF($B54="",0,SUMIFS('Wyniki zawodów'!$G$6:$G$205,'Wyniki zawodów'!$F$6:$F$205,$B54,'Wyniki zawodów'!$A$6:$A$205,F$4))</x:f>
        <x:v>0</x:v>
      </x:c>
      <x:c r="G54" s="28" t="n">
        <x:f>IF($B54="",0,SUMIFS('Wyniki zawodów'!$G$6:$G$205,'Wyniki zawodów'!$F$6:$F$205,$B54,'Wyniki zawodów'!$A$6:$A$205,G$4))</x:f>
        <x:v>0</x:v>
      </x:c>
      <x:c r="H54" s="28" t="n">
        <x:f>IF($B54="",0,SUMIFS('Wyniki zawodów'!$G$6:$G$205,'Wyniki zawodów'!$F$6:$F$205,$B54,'Wyniki zawodów'!$A$6:$A$205,H$4))</x:f>
        <x:v>0</x:v>
      </x:c>
      <x:c r="I54" s="28" t="n">
        <x:f>IF($B54="",0,SUMIFS('Wyniki zawodów'!$G$6:$G$205,'Wyniki zawodów'!$F$6:$F$205,$B54,'Wyniki zawodów'!$A$6:$A$205,I$4))</x:f>
        <x:v>0</x:v>
      </x:c>
      <x:c r="J54" s="28" t="n">
        <x:f>IF($B54="",0,SUMIFS('Wyniki zawodów'!$G$6:$G$205,'Wyniki zawodów'!$F$6:$F$205,$B54,'Wyniki zawodów'!$A$6:$A$205,J$4))</x:f>
        <x:v>0</x:v>
      </x:c>
      <x:c r="K54" s="28" t="n">
        <x:f>IF($B54="",0,SUMIFS('Wyniki zawodów'!$G$6:$G$205,'Wyniki zawodów'!$F$6:$F$205,$B54,'Wyniki zawodów'!$A$6:$A$205,K$4))</x:f>
        <x:v>0</x:v>
      </x:c>
      <x:c r="L54" s="28" t="n">
        <x:f>IF($B54="",0,SUMIFS('Wyniki zawodów'!$G$6:$G$205,'Wyniki zawodów'!$F$6:$F$205,$B54,'Wyniki zawodów'!$A$6:$A$205,L$4))</x:f>
        <x:v>0</x:v>
      </x:c>
      <x:c r="M54" s="28" t="n">
        <x:f>IF($B54="",0,SUMIFS('Wyniki zawodów'!$G$6:$G$205,'Wyniki zawodów'!$F$6:$F$205,$B54,'Wyniki zawodów'!$A$6:$A$205,M$4))</x:f>
        <x:v>0</x:v>
      </x:c>
      <x:c r="N54" s="28" t="n">
        <x:f>IF($B54="",0,SUMIFS('Wyniki zawodów'!$G$6:$G$205,'Wyniki zawodów'!$F$6:$F$205,$B54,'Wyniki zawodów'!$A$6:$A$205,N$4))</x:f>
        <x:v>0</x:v>
      </x:c>
      <x:c r="O54" s="28" t="n">
        <x:f>IF($B54="",0,SUMIFS('Wyniki zawodów'!$G$6:$G$205,'Wyniki zawodów'!$F$6:$F$205,$B54,'Wyniki zawodów'!$A$6:$A$205,O$4))</x:f>
        <x:v>0</x:v>
      </x:c>
      <x:c r="P54" s="28" t="n">
        <x:f>IF($B54="",0,SUMIFS('Wyniki zawodów'!$G$6:$G$205,'Wyniki zawodów'!$F$6:$F$205,$B54,'Wyniki zawodów'!$A$6:$A$205,P$4))</x:f>
        <x:v>0</x:v>
      </x:c>
      <x:c r="Q54" s="28" t="n">
        <x:f>IF($B54="",0,SUMIFS('Wyniki zawodów'!$G$6:$G$205,'Wyniki zawodów'!$F$6:$F$205,$B54,'Wyniki zawodów'!$A$6:$A$205,Q$4))</x:f>
        <x:v>0</x:v>
      </x:c>
      <x:c r="R54" s="28" t="n">
        <x:f>IF($B54="",0,SUMIFS('Wyniki zawodów'!$G$6:$G$205,'Wyniki zawodów'!$F$6:$F$205,$B54,'Wyniki zawodów'!$A$6:$A$205,R$4))</x:f>
        <x:v>0</x:v>
      </x:c>
      <x:c r="S54" s="28" t="n">
        <x:f>IF($B54="",0,SUMIFS('Wyniki zawodów'!$G$6:$G$205,'Wyniki zawodów'!$F$6:$F$205,$B54,'Wyniki zawodów'!$A$6:$A$205,S$4))</x:f>
        <x:v>0</x:v>
      </x:c>
      <x:c r="T54" s="28" t="n">
        <x:f>IF($B54="",0,SUMIFS('Wyniki zawodów'!$G$6:$G$205,'Wyniki zawodów'!$F$6:$F$205,$B54,'Wyniki zawodów'!$A$6:$A$205,T$4))</x:f>
        <x:v>0</x:v>
      </x:c>
      <x:c r="U54" s="28" t="n">
        <x:f>IF($B54="",0,SUMIFS('Wyniki zawodów'!$G$6:$G$205,'Wyniki zawodów'!$F$6:$F$205,$B54,'Wyniki zawodów'!$A$6:$A$205,U$4))</x:f>
        <x:v>0</x:v>
      </x:c>
      <x:c r="V54" s="28" t="n">
        <x:f>IF($B54="",0,SUMIFS('Wyniki zawodów'!$G$6:$G$205,'Wyniki zawodów'!$F$6:$F$205,$B54,'Wyniki zawodów'!$A$6:$A$205,V$4))</x:f>
        <x:v>0</x:v>
      </x:c>
      <x:c r="W54" s="28" t="n">
        <x:f>IF($B54="",0,SUMIFS('Wyniki zawodów'!$G$6:$G$205,'Wyniki zawodów'!$F$6:$F$205,$B54,'Wyniki zawodów'!$A$6:$A$205,W$4))</x:f>
        <x:v>0</x:v>
      </x:c>
      <x:c r="X54" s="17" t="str">
        <x:f>IF(B54="","",SUM(D54:W54))</x:f>
      </x:c>
      <x:c r="Y54" s="29" t="str">
        <x:f>IF(B54="","",LARGE(D54:W54,1)+LARGE(D54:W54,2)+LARGE(D54:W54,3)+LARGE(D54:W54,4))</x:f>
      </x:c>
      <x:c r="Z54" s="17" t="str">
        <x:f>IF(B54="","",X54-Y54)</x:f>
      </x:c>
      <x:c r="AA54" s="17" t="n">
        <x:f>IF(B54="",0,Y54*1000+(100-ROW()))</x:f>
        <x:v>0</x:v>
      </x:c>
    </x:row>
    <x:row r="55">
      <x:c r="A55" s="17" t="str">
        <x:f>IF(B55="","",1+COUNTIF($Y$6:$Y$55,"&gt;"&amp;Y55))</x:f>
      </x:c>
      <x:c r="B55" s="17" t="str">
        <x:f>IF(COUNTIF('Wyniki zawodów'!$F$6:$F$205,Zawodnicy!A55)=0,"",Zawodnicy!A55)</x:f>
      </x:c>
      <x:c r="C55" s="17" t="str">
        <x:f>IF(B55="","",COUNTIF('Wyniki zawodów'!$F$6:$F$205,B55))</x:f>
      </x:c>
      <x:c r="D55" s="28" t="n">
        <x:f>IF($B55="",0,SUMIFS('Wyniki zawodów'!$G$6:$G$205,'Wyniki zawodów'!$F$6:$F$205,$B55,'Wyniki zawodów'!$A$6:$A$205,D$4))</x:f>
        <x:v>0</x:v>
      </x:c>
      <x:c r="E55" s="28" t="n">
        <x:f>IF($B55="",0,SUMIFS('Wyniki zawodów'!$G$6:$G$205,'Wyniki zawodów'!$F$6:$F$205,$B55,'Wyniki zawodów'!$A$6:$A$205,E$4))</x:f>
        <x:v>0</x:v>
      </x:c>
      <x:c r="F55" s="28" t="n">
        <x:f>IF($B55="",0,SUMIFS('Wyniki zawodów'!$G$6:$G$205,'Wyniki zawodów'!$F$6:$F$205,$B55,'Wyniki zawodów'!$A$6:$A$205,F$4))</x:f>
        <x:v>0</x:v>
      </x:c>
      <x:c r="G55" s="28" t="n">
        <x:f>IF($B55="",0,SUMIFS('Wyniki zawodów'!$G$6:$G$205,'Wyniki zawodów'!$F$6:$F$205,$B55,'Wyniki zawodów'!$A$6:$A$205,G$4))</x:f>
        <x:v>0</x:v>
      </x:c>
      <x:c r="H55" s="28" t="n">
        <x:f>IF($B55="",0,SUMIFS('Wyniki zawodów'!$G$6:$G$205,'Wyniki zawodów'!$F$6:$F$205,$B55,'Wyniki zawodów'!$A$6:$A$205,H$4))</x:f>
        <x:v>0</x:v>
      </x:c>
      <x:c r="I55" s="28" t="n">
        <x:f>IF($B55="",0,SUMIFS('Wyniki zawodów'!$G$6:$G$205,'Wyniki zawodów'!$F$6:$F$205,$B55,'Wyniki zawodów'!$A$6:$A$205,I$4))</x:f>
        <x:v>0</x:v>
      </x:c>
      <x:c r="J55" s="28" t="n">
        <x:f>IF($B55="",0,SUMIFS('Wyniki zawodów'!$G$6:$G$205,'Wyniki zawodów'!$F$6:$F$205,$B55,'Wyniki zawodów'!$A$6:$A$205,J$4))</x:f>
        <x:v>0</x:v>
      </x:c>
      <x:c r="K55" s="28" t="n">
        <x:f>IF($B55="",0,SUMIFS('Wyniki zawodów'!$G$6:$G$205,'Wyniki zawodów'!$F$6:$F$205,$B55,'Wyniki zawodów'!$A$6:$A$205,K$4))</x:f>
        <x:v>0</x:v>
      </x:c>
      <x:c r="L55" s="28" t="n">
        <x:f>IF($B55="",0,SUMIFS('Wyniki zawodów'!$G$6:$G$205,'Wyniki zawodów'!$F$6:$F$205,$B55,'Wyniki zawodów'!$A$6:$A$205,L$4))</x:f>
        <x:v>0</x:v>
      </x:c>
      <x:c r="M55" s="28" t="n">
        <x:f>IF($B55="",0,SUMIFS('Wyniki zawodów'!$G$6:$G$205,'Wyniki zawodów'!$F$6:$F$205,$B55,'Wyniki zawodów'!$A$6:$A$205,M$4))</x:f>
        <x:v>0</x:v>
      </x:c>
      <x:c r="N55" s="28" t="n">
        <x:f>IF($B55="",0,SUMIFS('Wyniki zawodów'!$G$6:$G$205,'Wyniki zawodów'!$F$6:$F$205,$B55,'Wyniki zawodów'!$A$6:$A$205,N$4))</x:f>
        <x:v>0</x:v>
      </x:c>
      <x:c r="O55" s="28" t="n">
        <x:f>IF($B55="",0,SUMIFS('Wyniki zawodów'!$G$6:$G$205,'Wyniki zawodów'!$F$6:$F$205,$B55,'Wyniki zawodów'!$A$6:$A$205,O$4))</x:f>
        <x:v>0</x:v>
      </x:c>
      <x:c r="P55" s="28" t="n">
        <x:f>IF($B55="",0,SUMIFS('Wyniki zawodów'!$G$6:$G$205,'Wyniki zawodów'!$F$6:$F$205,$B55,'Wyniki zawodów'!$A$6:$A$205,P$4))</x:f>
        <x:v>0</x:v>
      </x:c>
      <x:c r="Q55" s="28" t="n">
        <x:f>IF($B55="",0,SUMIFS('Wyniki zawodów'!$G$6:$G$205,'Wyniki zawodów'!$F$6:$F$205,$B55,'Wyniki zawodów'!$A$6:$A$205,Q$4))</x:f>
        <x:v>0</x:v>
      </x:c>
      <x:c r="R55" s="28" t="n">
        <x:f>IF($B55="",0,SUMIFS('Wyniki zawodów'!$G$6:$G$205,'Wyniki zawodów'!$F$6:$F$205,$B55,'Wyniki zawodów'!$A$6:$A$205,R$4))</x:f>
        <x:v>0</x:v>
      </x:c>
      <x:c r="S55" s="28" t="n">
        <x:f>IF($B55="",0,SUMIFS('Wyniki zawodów'!$G$6:$G$205,'Wyniki zawodów'!$F$6:$F$205,$B55,'Wyniki zawodów'!$A$6:$A$205,S$4))</x:f>
        <x:v>0</x:v>
      </x:c>
      <x:c r="T55" s="28" t="n">
        <x:f>IF($B55="",0,SUMIFS('Wyniki zawodów'!$G$6:$G$205,'Wyniki zawodów'!$F$6:$F$205,$B55,'Wyniki zawodów'!$A$6:$A$205,T$4))</x:f>
        <x:v>0</x:v>
      </x:c>
      <x:c r="U55" s="28" t="n">
        <x:f>IF($B55="",0,SUMIFS('Wyniki zawodów'!$G$6:$G$205,'Wyniki zawodów'!$F$6:$F$205,$B55,'Wyniki zawodów'!$A$6:$A$205,U$4))</x:f>
        <x:v>0</x:v>
      </x:c>
      <x:c r="V55" s="28" t="n">
        <x:f>IF($B55="",0,SUMIFS('Wyniki zawodów'!$G$6:$G$205,'Wyniki zawodów'!$F$6:$F$205,$B55,'Wyniki zawodów'!$A$6:$A$205,V$4))</x:f>
        <x:v>0</x:v>
      </x:c>
      <x:c r="W55" s="28" t="n">
        <x:f>IF($B55="",0,SUMIFS('Wyniki zawodów'!$G$6:$G$205,'Wyniki zawodów'!$F$6:$F$205,$B55,'Wyniki zawodów'!$A$6:$A$205,W$4))</x:f>
        <x:v>0</x:v>
      </x:c>
      <x:c r="X55" s="17" t="str">
        <x:f>IF(B55="","",SUM(D55:W55))</x:f>
      </x:c>
      <x:c r="Y55" s="29" t="str">
        <x:f>IF(B55="","",LARGE(D55:W55,1)+LARGE(D55:W55,2)+LARGE(D55:W55,3)+LARGE(D55:W55,4))</x:f>
      </x:c>
      <x:c r="Z55" s="17" t="str">
        <x:f>IF(B55="","",X55-Y55)</x:f>
      </x:c>
      <x:c r="AA55" s="17" t="n">
        <x:f>IF(B55="",0,Y55*1000+(100-ROW()))</x:f>
        <x:v>0</x:v>
      </x:c>
    </x:row>
  </x:sheetData>
  <x:mergeCells>
    <x:mergeCell ref="A1:AA1"/>
    <x:mergeCell ref="A2:AA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10" hidden="0" customWidth="1"/>
    <x:col min="5" max="5" width="26" hidden="0" customWidth="1"/>
    <x:col min="6" max="6" width="26" hidden="0" customWidth="1"/>
    <x:col min="7" max="7" width="14" hidden="0" customWidth="1"/>
    <x:col min="8" max="8" width="18" hidden="0" customWidth="1"/>
    <x:col min="9" max="9" width="30" hidden="0" customWidth="1"/>
  </x:cols>
  <x:sheetData>
    <x:row r="1" ht="30" customHeight="1">
      <x:c r="A1" s="4" t="str">
        <x:v>WYNIKI ZAWODÓW - DANE WEJŚCIOWE</x:v>
      </x:c>
      <x:c r="B1" s="4" t="str">
        <x:v>WYNIKI ZAWODÓW - DANE WEJŚCIOWE</x:v>
      </x:c>
      <x:c r="C1" s="4" t="str">
        <x:v>WYNIKI ZAWODÓW - DANE WEJŚCIOWE</x:v>
      </x:c>
      <x:c r="D1" s="4" t="str">
        <x:v>WYNIKI ZAWODÓW - DANE WEJŚCIOWE</x:v>
      </x:c>
      <x:c r="E1" s="4" t="str">
        <x:v>WYNIKI ZAWODÓW - DANE WEJŚCIOWE</x:v>
      </x:c>
      <x:c r="F1" s="4" t="str">
        <x:v>WYNIKI ZAWODÓW - DANE WEJŚCIOWE</x:v>
      </x:c>
      <x:c r="G1" s="4" t="str">
        <x:v>WYNIKI ZAWODÓW - DANE WEJŚCIOWE</x:v>
      </x:c>
      <x:c r="H1" s="4" t="str">
        <x:v>WYNIKI ZAWODÓW - DANE WEJŚCIOWE</x:v>
      </x:c>
      <x:c r="I1" s="4" t="str">
        <x:v>WYNIKI ZAWODÓW - DANE WEJŚCIOWE</x:v>
      </x:c>
    </x:row>
    <x:row r="2" ht="24" customHeight="1">
      <x:c r="A2" s="8" t="str">
        <x:v>Wpisuj numer zawodów, lokatę 1-5, nazwisko ze źródła, nazwisko ujednolicone, sumę punktów konkurencji i nazwę pliku. Punkty sezonu obliczają się automatycznie.</x:v>
      </x:c>
      <x:c r="B2" s="8" t="str">
        <x:v>Wpisuj numer zawodów, lokatę 1-5, nazwisko ze źródła, nazwisko ujednolicone, sumę punktów konkurencji i nazwę pliku. Punkty sezonu obliczają się automatycznie.</x:v>
      </x:c>
      <x:c r="C2" s="8" t="str">
        <x:v>Wpisuj numer zawodów, lokatę 1-5, nazwisko ze źródła, nazwisko ujednolicone, sumę punktów konkurencji i nazwę pliku. Punkty sezonu obliczają się automatycznie.</x:v>
      </x:c>
      <x:c r="D2" s="8" t="str">
        <x:v>Wpisuj numer zawodów, lokatę 1-5, nazwisko ze źródła, nazwisko ujednolicone, sumę punktów konkurencji i nazwę pliku. Punkty sezonu obliczają się automatycznie.</x:v>
      </x:c>
      <x:c r="E2" s="8" t="str">
        <x:v>Wpisuj numer zawodów, lokatę 1-5, nazwisko ze źródła, nazwisko ujednolicone, sumę punktów konkurencji i nazwę pliku. Punkty sezonu obliczają się automatycznie.</x:v>
      </x:c>
      <x:c r="F2" s="8" t="str">
        <x:v>Wpisuj numer zawodów, lokatę 1-5, nazwisko ze źródła, nazwisko ujednolicone, sumę punktów konkurencji i nazwę pliku. Punkty sezonu obliczają się automatycznie.</x:v>
      </x:c>
      <x:c r="G2" s="8" t="str">
        <x:v>Wpisuj numer zawodów, lokatę 1-5, nazwisko ze źródła, nazwisko ujednolicone, sumę punktów konkurencji i nazwę pliku. Punkty sezonu obliczają się automatycznie.</x:v>
      </x:c>
      <x:c r="H2" s="8" t="str">
        <x:v>Wpisuj numer zawodów, lokatę 1-5, nazwisko ze źródła, nazwisko ujednolicone, sumę punktów konkurencji i nazwę pliku. Punkty sezonu obliczają się automatycznie.</x:v>
      </x:c>
      <x:c r="I2" s="8" t="str">
        <x:v>Wpisuj numer zawodów, lokatę 1-5, nazwisko ze źródła, nazwisko ujednolicone, sumę punktów konkurencji i nazwę pliku. Punkty sezonu obliczają się automatycznie.</x:v>
      </x:c>
    </x:row>
    <x:row r="3" ht="24" customHeight="1">
      <x:c r="A3" s="8" t="str">
        <x:v>Wpisuj numer zawodów, lokatę 1-5, nazwisko ze źródła, nazwisko ujednolicone, sumę punktów konkurencji i nazwę pliku. Punkty sezonu obliczają się automatycznie.</x:v>
      </x:c>
      <x:c r="B3" s="8" t="str">
        <x:v>Wpisuj numer zawodów, lokatę 1-5, nazwisko ze źródła, nazwisko ujednolicone, sumę punktów konkurencji i nazwę pliku. Punkty sezonu obliczają się automatycznie.</x:v>
      </x:c>
      <x:c r="C3" s="8" t="str">
        <x:v>Wpisuj numer zawodów, lokatę 1-5, nazwisko ze źródła, nazwisko ujednolicone, sumę punktów konkurencji i nazwę pliku. Punkty sezonu obliczają się automatycznie.</x:v>
      </x:c>
      <x:c r="D3" s="8" t="str">
        <x:v>Wpisuj numer zawodów, lokatę 1-5, nazwisko ze źródła, nazwisko ujednolicone, sumę punktów konkurencji i nazwę pliku. Punkty sezonu obliczają się automatycznie.</x:v>
      </x:c>
      <x:c r="E3" s="8" t="str">
        <x:v>Wpisuj numer zawodów, lokatę 1-5, nazwisko ze źródła, nazwisko ujednolicone, sumę punktów konkurencji i nazwę pliku. Punkty sezonu obliczają się automatycznie.</x:v>
      </x:c>
      <x:c r="F3" s="8" t="str">
        <x:v>Wpisuj numer zawodów, lokatę 1-5, nazwisko ze źródła, nazwisko ujednolicone, sumę punktów konkurencji i nazwę pliku. Punkty sezonu obliczają się automatycznie.</x:v>
      </x:c>
      <x:c r="G3" s="8" t="str">
        <x:v>Wpisuj numer zawodów, lokatę 1-5, nazwisko ze źródła, nazwisko ujednolicone, sumę punktów konkurencji i nazwę pliku. Punkty sezonu obliczają się automatycznie.</x:v>
      </x:c>
      <x:c r="H3" s="8" t="str">
        <x:v>Wpisuj numer zawodów, lokatę 1-5, nazwisko ze źródła, nazwisko ujednolicone, sumę punktów konkurencji i nazwę pliku. Punkty sezonu obliczają się automatycznie.</x:v>
      </x:c>
      <x:c r="I3" s="8" t="str">
        <x:v>Wpisuj numer zawodów, lokatę 1-5, nazwisko ze źródła, nazwisko ujednolicone, sumę punktów konkurencji i nazwę pliku. Punkty sezonu obliczają się automatycznie.</x:v>
      </x:c>
    </x:row>
    <x:row r="5" ht="44" customHeight="1">
      <x:c r="A5" s="14" t="str">
        <x:v>Nr zawodów</x:v>
      </x:c>
      <x:c r="B5" s="14" t="str">
        <x:v>Data</x:v>
      </x:c>
      <x:c r="C5" s="14" t="str">
        <x:v>Miejscowość</x:v>
      </x:c>
      <x:c r="D5" s="14" t="str">
        <x:v>Lokata</x:v>
      </x:c>
      <x:c r="E5" s="14" t="str">
        <x:v>Zapis w źródle</x:v>
      </x:c>
      <x:c r="F5" s="14" t="str">
        <x:v>Zawodnik ujednolicony</x:v>
      </x:c>
      <x:c r="G5" s="14" t="str">
        <x:v>Punkty sezonu</x:v>
      </x:c>
      <x:c r="H5" s="14" t="str">
        <x:v>Suma pkt konkurencji</x:v>
      </x:c>
      <x:c r="I5" s="14" t="str">
        <x:v>Plik źródłowy</x:v>
      </x:c>
    </x:row>
    <x:row r="6">
      <x:c r="A6" s="19" t="n">
        <x:v>1</x:v>
      </x:c>
      <x:c r="B6" s="20" t="str">
        <x:v>01.05.2026</x:v>
      </x:c>
      <x:c r="C6" s="20" t="str">
        <x:v>Siewierz</x:v>
      </x:c>
      <x:c r="D6" s="19" t="n">
        <x:v>1</x:v>
      </x:c>
      <x:c r="E6" s="26" t="str">
        <x:v>ŁUKASZ KIELISZKOWSKI</x:v>
      </x:c>
      <x:c r="F6" s="26" t="str">
        <x:v>Łukasz Kieliszkowski</x:v>
      </x:c>
      <x:c r="G6" s="25" t="n">
        <x:v>5</x:v>
      </x:c>
      <x:c r="H6" s="24" t="n">
        <x:v>23</x:v>
      </x:c>
      <x:c r="I6" s="20" t="str">
        <x:v>SIEWIERZ 1.05.2026</x:v>
      </x:c>
    </x:row>
    <x:row r="7">
      <x:c r="A7" s="19" t="n">
        <x:v>1</x:v>
      </x:c>
      <x:c r="B7" s="20" t="str">
        <x:v>01.05.2026</x:v>
      </x:c>
      <x:c r="C7" s="20" t="str">
        <x:v>Siewierz</x:v>
      </x:c>
      <x:c r="D7" s="19" t="n">
        <x:v>2</x:v>
      </x:c>
      <x:c r="E7" s="26" t="str">
        <x:v>MARCIN STANKIEWICZ</x:v>
      </x:c>
      <x:c r="F7" s="26" t="str">
        <x:v>Marcin Stankiewicz</x:v>
      </x:c>
      <x:c r="G7" s="25" t="n">
        <x:v>4</x:v>
      </x:c>
      <x:c r="H7" s="24" t="n">
        <x:v>20</x:v>
      </x:c>
      <x:c r="I7" s="20" t="str">
        <x:v>SIEWIERZ 1.05.2026</x:v>
      </x:c>
    </x:row>
    <x:row r="8">
      <x:c r="A8" s="19" t="n">
        <x:v>1</x:v>
      </x:c>
      <x:c r="B8" s="20" t="str">
        <x:v>01.05.2026</x:v>
      </x:c>
      <x:c r="C8" s="20" t="str">
        <x:v>Siewierz</x:v>
      </x:c>
      <x:c r="D8" s="19" t="n">
        <x:v>3</x:v>
      </x:c>
      <x:c r="E8" s="26" t="str">
        <x:v>BARTŁOMIEJ BĄBOL</x:v>
      </x:c>
      <x:c r="F8" s="26" t="str">
        <x:v>Bartłomiej Bąbol</x:v>
      </x:c>
      <x:c r="G8" s="25" t="n">
        <x:v>3</x:v>
      </x:c>
      <x:c r="H8" s="24" t="n">
        <x:v>19</x:v>
      </x:c>
      <x:c r="I8" s="20" t="str">
        <x:v>SIEWIERZ 1.05.2026</x:v>
      </x:c>
    </x:row>
    <x:row r="9">
      <x:c r="A9" s="19" t="n">
        <x:v>1</x:v>
      </x:c>
      <x:c r="B9" s="20" t="str">
        <x:v>01.05.2026</x:v>
      </x:c>
      <x:c r="C9" s="20" t="str">
        <x:v>Siewierz</x:v>
      </x:c>
      <x:c r="D9" s="19" t="n">
        <x:v>4</x:v>
      </x:c>
      <x:c r="E9" s="26" t="str">
        <x:v>BARTŁOMIEJ POSYÓJ (i) Wygrana przez: więcej 2. miejsc</x:v>
      </x:c>
      <x:c r="F9" s="26" t="str">
        <x:v>Bartosz Postój</x:v>
      </x:c>
      <x:c r="G9" s="25" t="n">
        <x:v>2</x:v>
      </x:c>
      <x:c r="H9" s="24" t="n">
        <x:v>11</x:v>
      </x:c>
      <x:c r="I9" s="20" t="str">
        <x:v>SIEWIERZ 1.05.2026</x:v>
      </x:c>
    </x:row>
    <x:row r="10">
      <x:c r="A10" s="19" t="n">
        <x:v>1</x:v>
      </x:c>
      <x:c r="B10" s="20" t="str">
        <x:v>01.05.2026</x:v>
      </x:c>
      <x:c r="C10" s="20" t="str">
        <x:v>Siewierz</x:v>
      </x:c>
      <x:c r="D10" s="19" t="n">
        <x:v>5</x:v>
      </x:c>
      <x:c r="E10" s="26" t="str">
        <x:v>KRZYSZTOF KACNERSKI</x:v>
      </x:c>
      <x:c r="F10" s="26" t="str">
        <x:v>Krzysztof Kacnerski</x:v>
      </x:c>
      <x:c r="G10" s="25" t="n">
        <x:v>1</x:v>
      </x:c>
      <x:c r="H10" s="24" t="n">
        <x:v>11</x:v>
      </x:c>
      <x:c r="I10" s="20" t="str">
        <x:v>SIEWIERZ 1.05.2026</x:v>
      </x:c>
    </x:row>
    <x:row r="11">
      <x:c r="A11" s="19" t="n">
        <x:v>2</x:v>
      </x:c>
      <x:c r="B11" s="20" t="str">
        <x:v>30.05.2026</x:v>
      </x:c>
      <x:c r="C11" s="20" t="str">
        <x:v>Czerwonak</x:v>
      </x:c>
      <x:c r="D11" s="19" t="n">
        <x:v>1</x:v>
      </x:c>
      <x:c r="E11" s="26" t="str">
        <x:v>JAKUB SZCZECHOWSKI</x:v>
      </x:c>
      <x:c r="F11" s="26" t="str">
        <x:v>Jakub Szczechowski</x:v>
      </x:c>
      <x:c r="G11" s="25" t="n">
        <x:v>5</x:v>
      </x:c>
      <x:c r="H11" s="24" t="n">
        <x:v>24</x:v>
      </x:c>
      <x:c r="I11" s="20" t="str">
        <x:v>Czerwonak 30.05</x:v>
      </x:c>
    </x:row>
    <x:row r="12">
      <x:c r="A12" s="19" t="n">
        <x:v>2</x:v>
      </x:c>
      <x:c r="B12" s="20" t="str">
        <x:v>30.05.2026</x:v>
      </x:c>
      <x:c r="C12" s="20" t="str">
        <x:v>Czerwonak</x:v>
      </x:c>
      <x:c r="D12" s="19" t="n">
        <x:v>2</x:v>
      </x:c>
      <x:c r="E12" s="26" t="str">
        <x:v>MARCIN SCHABOWSKI</x:v>
      </x:c>
      <x:c r="F12" s="26" t="str">
        <x:v>Marcin Schabowski</x:v>
      </x:c>
      <x:c r="G12" s="25" t="n">
        <x:v>4</x:v>
      </x:c>
      <x:c r="H12" s="24" t="n">
        <x:v>22</x:v>
      </x:c>
      <x:c r="I12" s="20" t="str">
        <x:v>Czerwonak 30.05</x:v>
      </x:c>
    </x:row>
    <x:row r="13">
      <x:c r="A13" s="19" t="n">
        <x:v>2</x:v>
      </x:c>
      <x:c r="B13" s="20" t="str">
        <x:v>30.05.2026</x:v>
      </x:c>
      <x:c r="C13" s="20" t="str">
        <x:v>Czerwonak</x:v>
      </x:c>
      <x:c r="D13" s="19" t="n">
        <x:v>3</x:v>
      </x:c>
      <x:c r="E13" s="26" t="str">
        <x:v>TOMASZ LADEMANN</x:v>
      </x:c>
      <x:c r="F13" s="26" t="str">
        <x:v>Tomasz Lademann</x:v>
      </x:c>
      <x:c r="G13" s="25" t="n">
        <x:v>3</x:v>
      </x:c>
      <x:c r="H13" s="24" t="n">
        <x:v>20</x:v>
      </x:c>
      <x:c r="I13" s="20" t="str">
        <x:v>Czerwonak 30.05</x:v>
      </x:c>
    </x:row>
    <x:row r="14">
      <x:c r="A14" s="19" t="n">
        <x:v>2</x:v>
      </x:c>
      <x:c r="B14" s="20" t="str">
        <x:v>30.05.2026</x:v>
      </x:c>
      <x:c r="C14" s="20" t="str">
        <x:v>Czerwonak</x:v>
      </x:c>
      <x:c r="D14" s="19" t="n">
        <x:v>4</x:v>
      </x:c>
      <x:c r="E14" s="26" t="str">
        <x:v>PAWEL KOSTRZEWSKI</x:v>
      </x:c>
      <x:c r="F14" s="26" t="str">
        <x:v>Paweł Kostrzewski</x:v>
      </x:c>
      <x:c r="G14" s="25" t="n">
        <x:v>2</x:v>
      </x:c>
      <x:c r="H14" s="24" t="n">
        <x:v>13</x:v>
      </x:c>
      <x:c r="I14" s="20" t="str">
        <x:v>Czerwonak 30.05</x:v>
      </x:c>
    </x:row>
    <x:row r="15">
      <x:c r="A15" s="19" t="n">
        <x:v>2</x:v>
      </x:c>
      <x:c r="B15" s="20" t="str">
        <x:v>30.05.2026</x:v>
      </x:c>
      <x:c r="C15" s="20" t="str">
        <x:v>Czerwonak</x:v>
      </x:c>
      <x:c r="D15" s="19" t="n">
        <x:v>5</x:v>
      </x:c>
      <x:c r="E15" s="26" t="str">
        <x:v>MARIUSZ PACHUT</x:v>
      </x:c>
      <x:c r="F15" s="26" t="str">
        <x:v>Mariusz Pachut</x:v>
      </x:c>
      <x:c r="G15" s="25" t="n">
        <x:v>1</x:v>
      </x:c>
      <x:c r="H15" s="24" t="n">
        <x:v>11</x:v>
      </x:c>
      <x:c r="I15" s="20" t="str">
        <x:v>Czerwonak 30.05</x:v>
      </x:c>
    </x:row>
    <x:row r="16">
      <x:c r="A16" s="19" t="n">
        <x:v>3</x:v>
      </x:c>
      <x:c r="B16" s="20" t="str">
        <x:v>01.06.2026</x:v>
      </x:c>
      <x:c r="C16" s="20" t="str">
        <x:v>Kleszczów</x:v>
      </x:c>
      <x:c r="D16" s="19" t="n">
        <x:v>1</x:v>
      </x:c>
      <x:c r="E16" s="26" t="str">
        <x:v>LUKASZ KIELISZKOWSKI</x:v>
      </x:c>
      <x:c r="F16" s="26" t="str">
        <x:v>Łukasz Kieliszkowski</x:v>
      </x:c>
      <x:c r="G16" s="25" t="n">
        <x:v>5</x:v>
      </x:c>
      <x:c r="H16" s="24" t="n">
        <x:v>24.5</x:v>
      </x:c>
      <x:c r="I16" s="20" t="str">
        <x:v>Kleszczów 1.06</x:v>
      </x:c>
    </x:row>
    <x:row r="17">
      <x:c r="A17" s="19" t="n">
        <x:v>3</x:v>
      </x:c>
      <x:c r="B17" s="20" t="str">
        <x:v>01.06.2026</x:v>
      </x:c>
      <x:c r="C17" s="20" t="str">
        <x:v>Kleszczów</x:v>
      </x:c>
      <x:c r="D17" s="19" t="n">
        <x:v>2</x:v>
      </x:c>
      <x:c r="E17" s="26" t="str">
        <x:v>RAFAL SOJC</x:v>
      </x:c>
      <x:c r="F17" s="26" t="str">
        <x:v>Rafał Sojc</x:v>
      </x:c>
      <x:c r="G17" s="25" t="n">
        <x:v>4</x:v>
      </x:c>
      <x:c r="H17" s="24" t="n">
        <x:v>20.5</x:v>
      </x:c>
      <x:c r="I17" s="20" t="str">
        <x:v>Kleszczów 1.06</x:v>
      </x:c>
    </x:row>
    <x:row r="18">
      <x:c r="A18" s="19" t="n">
        <x:v>3</x:v>
      </x:c>
      <x:c r="B18" s="20" t="str">
        <x:v>01.06.2026</x:v>
      </x:c>
      <x:c r="C18" s="20" t="str">
        <x:v>Kleszczów</x:v>
      </x:c>
      <x:c r="D18" s="19" t="n">
        <x:v>3</x:v>
      </x:c>
      <x:c r="E18" s="26" t="str">
        <x:v>BARTLOMIEJ BABOL</x:v>
      </x:c>
      <x:c r="F18" s="26" t="str">
        <x:v>Bartłomiej Bąbol</x:v>
      </x:c>
      <x:c r="G18" s="25" t="n">
        <x:v>3</x:v>
      </x:c>
      <x:c r="H18" s="24" t="n">
        <x:v>17.5</x:v>
      </x:c>
      <x:c r="I18" s="20" t="str">
        <x:v>Kleszczów 1.06</x:v>
      </x:c>
    </x:row>
    <x:row r="19">
      <x:c r="A19" s="19" t="n">
        <x:v>3</x:v>
      </x:c>
      <x:c r="B19" s="20" t="str">
        <x:v>01.06.2026</x:v>
      </x:c>
      <x:c r="C19" s="20" t="str">
        <x:v>Kleszczów</x:v>
      </x:c>
      <x:c r="D19" s="19" t="n">
        <x:v>4</x:v>
      </x:c>
      <x:c r="E19" s="26" t="str">
        <x:v>BARTOSZ POSTOJ</x:v>
      </x:c>
      <x:c r="F19" s="26" t="str">
        <x:v>Bartosz Postój</x:v>
      </x:c>
      <x:c r="G19" s="25" t="n">
        <x:v>2</x:v>
      </x:c>
      <x:c r="H19" s="24" t="n">
        <x:v>15.5</x:v>
      </x:c>
      <x:c r="I19" s="20" t="str">
        <x:v>Kleszczów 1.06</x:v>
      </x:c>
    </x:row>
    <x:row r="20">
      <x:c r="A20" s="19" t="n">
        <x:v>3</x:v>
      </x:c>
      <x:c r="B20" s="20" t="str">
        <x:v>01.06.2026</x:v>
      </x:c>
      <x:c r="C20" s="20" t="str">
        <x:v>Kleszczów</x:v>
      </x:c>
      <x:c r="D20" s="19" t="n">
        <x:v>5</x:v>
      </x:c>
      <x:c r="E20" s="26" t="str">
        <x:v>PAWEL PISKORZ</x:v>
      </x:c>
      <x:c r="F20" s="26" t="str">
        <x:v>Paweł Piskorz</x:v>
      </x:c>
      <x:c r="G20" s="25" t="n">
        <x:v>1</x:v>
      </x:c>
      <x:c r="H20" s="24" t="n">
        <x:v>12</x:v>
      </x:c>
      <x:c r="I20" s="20" t="str">
        <x:v>Kleszczów 1.06</x:v>
      </x:c>
    </x:row>
    <x:row r="21">
      <x:c r="A21" s="19" t="n">
        <x:v>4</x:v>
      </x:c>
      <x:c r="B21" s="20" t="str">
        <x:v>06.06.2026</x:v>
      </x:c>
      <x:c r="C21" s="20" t="str">
        <x:v>Ruciane-Nida</x:v>
      </x:c>
      <x:c r="D21" s="19" t="n">
        <x:v>1</x:v>
      </x:c>
      <x:c r="E21" s="26" t="str">
        <x:v>RAFAL SOJC</x:v>
      </x:c>
      <x:c r="F21" s="26" t="str">
        <x:v>Rafał Sojc</x:v>
      </x:c>
      <x:c r="G21" s="25" t="n">
        <x:v>5</x:v>
      </x:c>
      <x:c r="H21" s="24" t="n">
        <x:v>25</x:v>
      </x:c>
      <x:c r="I21" s="20" t="str">
        <x:v>Ruciane-Nida 06.06.2026 r</x:v>
      </x:c>
    </x:row>
    <x:row r="22">
      <x:c r="A22" s="19" t="n">
        <x:v>4</x:v>
      </x:c>
      <x:c r="B22" s="20" t="str">
        <x:v>06.06.2026</x:v>
      </x:c>
      <x:c r="C22" s="20" t="str">
        <x:v>Ruciane-Nida</x:v>
      </x:c>
      <x:c r="D22" s="19" t="n">
        <x:v>2</x:v>
      </x:c>
      <x:c r="E22" s="26" t="str">
        <x:v>PAWEL PISKORZ</x:v>
      </x:c>
      <x:c r="F22" s="26" t="str">
        <x:v>Paweł Piskorz</x:v>
      </x:c>
      <x:c r="G22" s="25" t="n">
        <x:v>4</x:v>
      </x:c>
      <x:c r="H22" s="24" t="n">
        <x:v>21</x:v>
      </x:c>
      <x:c r="I22" s="20" t="str">
        <x:v>Ruciane-Nida 06.06.2026 r</x:v>
      </x:c>
    </x:row>
    <x:row r="23">
      <x:c r="A23" s="19" t="n">
        <x:v>4</x:v>
      </x:c>
      <x:c r="B23" s="20" t="str">
        <x:v>06.06.2026</x:v>
      </x:c>
      <x:c r="C23" s="20" t="str">
        <x:v>Ruciane-Nida</x:v>
      </x:c>
      <x:c r="D23" s="19" t="n">
        <x:v>3</x:v>
      </x:c>
      <x:c r="E23" s="26" t="str">
        <x:v>MARCIN STANKIEWICZ</x:v>
      </x:c>
      <x:c r="F23" s="26" t="str">
        <x:v>Marcin Stankiewicz</x:v>
      </x:c>
      <x:c r="G23" s="25" t="n">
        <x:v>3</x:v>
      </x:c>
      <x:c r="H23" s="24" t="n">
        <x:v>19</x:v>
      </x:c>
      <x:c r="I23" s="20" t="str">
        <x:v>Ruciane-Nida 06.06.2026 r</x:v>
      </x:c>
    </x:row>
    <x:row r="24">
      <x:c r="A24" s="19" t="n">
        <x:v>4</x:v>
      </x:c>
      <x:c r="B24" s="20" t="str">
        <x:v>06.06.2026</x:v>
      </x:c>
      <x:c r="C24" s="20" t="str">
        <x:v>Ruciane-Nida</x:v>
      </x:c>
      <x:c r="D24" s="19" t="n">
        <x:v>4</x:v>
      </x:c>
      <x:c r="E24" s="26" t="str">
        <x:v>PRZEMYSLAW MARCZEWSKI</x:v>
      </x:c>
      <x:c r="F24" s="26" t="str">
        <x:v>Przemysław Marczewski</x:v>
      </x:c>
      <x:c r="G24" s="25" t="n">
        <x:v>2</x:v>
      </x:c>
      <x:c r="H24" s="24" t="n">
        <x:v>15</x:v>
      </x:c>
      <x:c r="I24" s="20" t="str">
        <x:v>Ruciane-Nida 06.06.2026 r</x:v>
      </x:c>
    </x:row>
    <x:row r="25">
      <x:c r="A25" s="19" t="n">
        <x:v>4</x:v>
      </x:c>
      <x:c r="B25" s="20" t="str">
        <x:v>06.06.2026</x:v>
      </x:c>
      <x:c r="C25" s="20" t="str">
        <x:v>Ruciane-Nida</x:v>
      </x:c>
      <x:c r="D25" s="19" t="n">
        <x:v>5</x:v>
      </x:c>
      <x:c r="E25" s="26" t="str">
        <x:v>MARIUSZ PACHUT</x:v>
      </x:c>
      <x:c r="F25" s="26" t="str">
        <x:v>Mariusz Pachut</x:v>
      </x:c>
      <x:c r="G25" s="25" t="n">
        <x:v>1</x:v>
      </x:c>
      <x:c r="H25" s="24" t="n">
        <x:v>6</x:v>
      </x:c>
      <x:c r="I25" s="20" t="str">
        <x:v>Ruciane-Nida 06.06.2026 r</x:v>
      </x:c>
    </x:row>
    <x:row r="26">
      <x:c r="A26" s="19" t="n">
        <x:v>5</x:v>
      </x:c>
      <x:c r="B26" s="20" t="str">
        <x:v>07.06.2026</x:v>
      </x:c>
      <x:c r="C26" s="20" t="str">
        <x:v>Prabuty</x:v>
      </x:c>
      <x:c r="D26" s="19" t="n">
        <x:v>1</x:v>
      </x:c>
      <x:c r="E26" s="26" t="str">
        <x:v>LUKASZ KIELISZKOWSKI</x:v>
      </x:c>
      <x:c r="F26" s="26" t="str">
        <x:v>Łukasz Kieliszkowski</x:v>
      </x:c>
      <x:c r="G26" s="25" t="n">
        <x:v>5</x:v>
      </x:c>
      <x:c r="H26" s="24" t="n">
        <x:v>25</x:v>
      </x:c>
      <x:c r="I26" s="20" t="str">
        <x:v>Prabuty 07.06.2026 r</x:v>
      </x:c>
    </x:row>
    <x:row r="27">
      <x:c r="A27" s="19" t="n">
        <x:v>5</x:v>
      </x:c>
      <x:c r="B27" s="20" t="str">
        <x:v>07.06.2026</x:v>
      </x:c>
      <x:c r="C27" s="20" t="str">
        <x:v>Prabuty</x:v>
      </x:c>
      <x:c r="D27" s="19" t="n">
        <x:v>2</x:v>
      </x:c>
      <x:c r="E27" s="26" t="str">
        <x:v>JAKUB SZCZECHOWSKI</x:v>
      </x:c>
      <x:c r="F27" s="26" t="str">
        <x:v>Jakub Szczechowski</x:v>
      </x:c>
      <x:c r="G27" s="25" t="n">
        <x:v>4</x:v>
      </x:c>
      <x:c r="H27" s="24" t="n">
        <x:v>23</x:v>
      </x:c>
      <x:c r="I27" s="20" t="str">
        <x:v>Prabuty 07.06.2026 r</x:v>
      </x:c>
    </x:row>
    <x:row r="28">
      <x:c r="A28" s="19" t="n">
        <x:v>5</x:v>
      </x:c>
      <x:c r="B28" s="20" t="str">
        <x:v>07.06.2026</x:v>
      </x:c>
      <x:c r="C28" s="20" t="str">
        <x:v>Prabuty</x:v>
      </x:c>
      <x:c r="D28" s="19" t="n">
        <x:v>3</x:v>
      </x:c>
      <x:c r="E28" s="26" t="str">
        <x:v>BARTLOMIEJ BABOL</x:v>
      </x:c>
      <x:c r="F28" s="26" t="str">
        <x:v>Bartłomiej Bąbol</x:v>
      </x:c>
      <x:c r="G28" s="25" t="n">
        <x:v>3</x:v>
      </x:c>
      <x:c r="H28" s="24" t="n">
        <x:v>18.5</x:v>
      </x:c>
      <x:c r="I28" s="20" t="str">
        <x:v>Prabuty 07.06.2026 r</x:v>
      </x:c>
    </x:row>
    <x:row r="29">
      <x:c r="A29" s="19" t="n">
        <x:v>5</x:v>
      </x:c>
      <x:c r="B29" s="20" t="str">
        <x:v>07.06.2026</x:v>
      </x:c>
      <x:c r="C29" s="20" t="str">
        <x:v>Prabuty</x:v>
      </x:c>
      <x:c r="D29" s="19" t="n">
        <x:v>4</x:v>
      </x:c>
      <x:c r="E29" s="26" t="str">
        <x:v>PAWEL KOSTRZEWSKI</x:v>
      </x:c>
      <x:c r="F29" s="26" t="str">
        <x:v>Paweł Kostrzewski</x:v>
      </x:c>
      <x:c r="G29" s="25" t="n">
        <x:v>2</x:v>
      </x:c>
      <x:c r="H29" s="24" t="n">
        <x:v>15</x:v>
      </x:c>
      <x:c r="I29" s="20" t="str">
        <x:v>Prabuty 07.06.2026 r</x:v>
      </x:c>
    </x:row>
    <x:row r="30">
      <x:c r="A30" s="19" t="n">
        <x:v>5</x:v>
      </x:c>
      <x:c r="B30" s="20" t="str">
        <x:v>07.06.2026</x:v>
      </x:c>
      <x:c r="C30" s="20" t="str">
        <x:v>Prabuty</x:v>
      </x:c>
      <x:c r="D30" s="19" t="n">
        <x:v>5</x:v>
      </x:c>
      <x:c r="E30" s="26" t="str">
        <x:v>KRZYSZTOF KACNERSKI</x:v>
      </x:c>
      <x:c r="F30" s="26" t="str">
        <x:v>Krzysztof Kacnerski</x:v>
      </x:c>
      <x:c r="G30" s="25" t="n">
        <x:v>1</x:v>
      </x:c>
      <x:c r="H30" s="24" t="n">
        <x:v>7.5</x:v>
      </x:c>
      <x:c r="I30" s="20" t="str">
        <x:v>Prabuty 07.06.2026 r</x:v>
      </x:c>
    </x:row>
    <x:row r="31">
      <x:c r="A31" s="19" t="n">
        <x:v>6</x:v>
      </x:c>
      <x:c r="B31" s="20" t="str">
        <x:v>12.06.2026</x:v>
      </x:c>
      <x:c r="C31" s="20" t="str">
        <x:v>Tuszyn</x:v>
      </x:c>
      <x:c r="D31" s="19" t="n">
        <x:v>1</x:v>
      </x:c>
      <x:c r="E31" s="26" t="str">
        <x:v>PAWEL PISKORZ</x:v>
      </x:c>
      <x:c r="F31" s="26" t="str">
        <x:v>Paweł Piskorz</x:v>
      </x:c>
      <x:c r="G31" s="25" t="n">
        <x:v>5</x:v>
      </x:c>
      <x:c r="H31" s="24" t="n">
        <x:v>21</x:v>
      </x:c>
      <x:c r="I31" s="20" t="str">
        <x:v>Tuszyn 12.06.2026 r</x:v>
      </x:c>
    </x:row>
    <x:row r="32">
      <x:c r="A32" s="19" t="n">
        <x:v>6</x:v>
      </x:c>
      <x:c r="B32" s="20" t="str">
        <x:v>12.06.2026</x:v>
      </x:c>
      <x:c r="C32" s="20" t="str">
        <x:v>Tuszyn</x:v>
      </x:c>
      <x:c r="D32" s="19" t="n">
        <x:v>2</x:v>
      </x:c>
      <x:c r="E32" s="26" t="str">
        <x:v>BARTOSZ POSTOJ</x:v>
      </x:c>
      <x:c r="F32" s="26" t="str">
        <x:v>Bartosz Postój</x:v>
      </x:c>
      <x:c r="G32" s="25" t="n">
        <x:v>4</x:v>
      </x:c>
      <x:c r="H32" s="24" t="n">
        <x:v>19</x:v>
      </x:c>
      <x:c r="I32" s="20" t="str">
        <x:v>Tuszyn 12.06.2026 r</x:v>
      </x:c>
    </x:row>
    <x:row r="33">
      <x:c r="A33" s="19" t="n">
        <x:v>6</x:v>
      </x:c>
      <x:c r="B33" s="20" t="str">
        <x:v>12.06.2026</x:v>
      </x:c>
      <x:c r="C33" s="20" t="str">
        <x:v>Tuszyn</x:v>
      </x:c>
      <x:c r="D33" s="19" t="n">
        <x:v>3</x:v>
      </x:c>
      <x:c r="E33" s="26" t="str">
        <x:v>LUKASZ KIELISZKOWSKI</x:v>
      </x:c>
      <x:c r="F33" s="26" t="str">
        <x:v>Łukasz Kieliszkowski</x:v>
      </x:c>
      <x:c r="G33" s="25" t="n">
        <x:v>3</x:v>
      </x:c>
      <x:c r="H33" s="24" t="n">
        <x:v>18.5</x:v>
      </x:c>
      <x:c r="I33" s="20" t="str">
        <x:v>Tuszyn 12.06.2026 r</x:v>
      </x:c>
    </x:row>
    <x:row r="34">
      <x:c r="A34" s="19" t="n">
        <x:v>6</x:v>
      </x:c>
      <x:c r="B34" s="20" t="str">
        <x:v>12.06.2026</x:v>
      </x:c>
      <x:c r="C34" s="20" t="str">
        <x:v>Tuszyn</x:v>
      </x:c>
      <x:c r="D34" s="19" t="n">
        <x:v>4</x:v>
      </x:c>
      <x:c r="E34" s="26" t="str">
        <x:v>BARTLOMIEJ BABOL</x:v>
      </x:c>
      <x:c r="F34" s="26" t="str">
        <x:v>Bartłomiej Bąbol</x:v>
      </x:c>
      <x:c r="G34" s="25" t="n">
        <x:v>2</x:v>
      </x:c>
      <x:c r="H34" s="24" t="n">
        <x:v>17</x:v>
      </x:c>
      <x:c r="I34" s="20" t="str">
        <x:v>Tuszyn 12.06.2026 r</x:v>
      </x:c>
    </x:row>
    <x:row r="35">
      <x:c r="A35" s="19" t="n">
        <x:v>6</x:v>
      </x:c>
      <x:c r="B35" s="20" t="str">
        <x:v>12.06.2026</x:v>
      </x:c>
      <x:c r="C35" s="20" t="str">
        <x:v>Tuszyn</x:v>
      </x:c>
      <x:c r="D35" s="19" t="n">
        <x:v>5</x:v>
      </x:c>
      <x:c r="E35" s="26" t="str">
        <x:v>ADAM WADOLOWSKI</x:v>
      </x:c>
      <x:c r="F35" s="26" t="str">
        <x:v>Adam Wądołowski</x:v>
      </x:c>
      <x:c r="G35" s="25" t="n">
        <x:v>1</x:v>
      </x:c>
      <x:c r="H35" s="24" t="n">
        <x:v>14.5</x:v>
      </x:c>
      <x:c r="I35" s="20" t="str">
        <x:v>Tuszyn 12.06.2026 r</x:v>
      </x:c>
    </x:row>
    <x:row r="36">
      <x:c r="A36" s="19" t="n">
        <x:v>7</x:v>
      </x:c>
      <x:c r="B36" s="20" t="str">
        <x:v>27.06.2026</x:v>
      </x:c>
      <x:c r="C36" s="20" t="str">
        <x:v>Busko-Zdrój</x:v>
      </x:c>
      <x:c r="D36" s="19" t="n">
        <x:v>1</x:v>
      </x:c>
      <x:c r="E36" s="26" t="str">
        <x:v>RAFAL SOJC</x:v>
      </x:c>
      <x:c r="F36" s="26" t="str">
        <x:v>Rafał Sojc</x:v>
      </x:c>
      <x:c r="G36" s="25" t="n">
        <x:v>5</x:v>
      </x:c>
      <x:c r="H36" s="24" t="n">
        <x:v>24.5</x:v>
      </x:c>
      <x:c r="I36" s="20" t="str">
        <x:v>Busko-Zdroj 27.06.2026 r</x:v>
      </x:c>
    </x:row>
    <x:row r="37">
      <x:c r="A37" s="19" t="n">
        <x:v>7</x:v>
      </x:c>
      <x:c r="B37" s="20" t="str">
        <x:v>27.06.2026</x:v>
      </x:c>
      <x:c r="C37" s="20" t="str">
        <x:v>Busko-Zdrój</x:v>
      </x:c>
      <x:c r="D37" s="19" t="n">
        <x:v>2</x:v>
      </x:c>
      <x:c r="E37" s="26" t="str">
        <x:v>MARCIN STANKIEWICZ</x:v>
      </x:c>
      <x:c r="F37" s="26" t="str">
        <x:v>Marcin Stankiewicz</x:v>
      </x:c>
      <x:c r="G37" s="25" t="n">
        <x:v>4</x:v>
      </x:c>
      <x:c r="H37" s="24" t="n">
        <x:v>19.5</x:v>
      </x:c>
      <x:c r="I37" s="20" t="str">
        <x:v>Busko-Zdroj 27.06.2026 r</x:v>
      </x:c>
    </x:row>
    <x:row r="38">
      <x:c r="A38" s="19" t="n">
        <x:v>7</x:v>
      </x:c>
      <x:c r="B38" s="20" t="str">
        <x:v>27.06.2026</x:v>
      </x:c>
      <x:c r="C38" s="20" t="str">
        <x:v>Busko-Zdrój</x:v>
      </x:c>
      <x:c r="D38" s="19" t="n">
        <x:v>2</x:v>
      </x:c>
      <x:c r="E38" s="26" t="str">
        <x:v>BARTLOMIEJ BABOL</x:v>
      </x:c>
      <x:c r="F38" s="26" t="str">
        <x:v>Bartłomiej Bąbol</x:v>
      </x:c>
      <x:c r="G38" s="25" t="n">
        <x:v>4</x:v>
      </x:c>
      <x:c r="H38" s="24" t="n">
        <x:v>19.5</x:v>
      </x:c>
      <x:c r="I38" s="20" t="str">
        <x:v>Busko-Zdroj 27.06.2026 r</x:v>
      </x:c>
    </x:row>
    <x:row r="39">
      <x:c r="A39" s="19" t="n">
        <x:v>7</x:v>
      </x:c>
      <x:c r="B39" s="20" t="str">
        <x:v>27.06.2026</x:v>
      </x:c>
      <x:c r="C39" s="20" t="str">
        <x:v>Busko-Zdrój</x:v>
      </x:c>
      <x:c r="D39" s="19" t="n">
        <x:v>4</x:v>
      </x:c>
      <x:c r="E39" s="26" t="str">
        <x:v>BARTOSZ POSTOJ</x:v>
      </x:c>
      <x:c r="F39" s="26" t="str">
        <x:v>Bartosz Postój</x:v>
      </x:c>
      <x:c r="G39" s="25" t="n">
        <x:v>2</x:v>
      </x:c>
      <x:c r="H39" s="24" t="n">
        <x:v>15.5</x:v>
      </x:c>
      <x:c r="I39" s="20" t="str">
        <x:v>Busko-Zdroj 27.06.2026 r</x:v>
      </x:c>
    </x:row>
    <x:row r="40">
      <x:c r="A40" s="19" t="n">
        <x:v>7</x:v>
      </x:c>
      <x:c r="B40" s="20" t="str">
        <x:v>27.06.2026</x:v>
      </x:c>
      <x:c r="C40" s="20" t="str">
        <x:v>Busko-Zdrój</x:v>
      </x:c>
      <x:c r="D40" s="19" t="n">
        <x:v>5</x:v>
      </x:c>
      <x:c r="E40" s="26" t="str">
        <x:v>MICHAL MARUSZEWSKI</x:v>
      </x:c>
      <x:c r="F40" s="26" t="str">
        <x:v>Michał Maruszewski</x:v>
      </x:c>
      <x:c r="G40" s="25" t="n">
        <x:v>1</x:v>
      </x:c>
      <x:c r="H40" s="24" t="n">
        <x:v>11</x:v>
      </x:c>
      <x:c r="I40" s="20" t="str">
        <x:v>Busko-Zdroj 27.06.2026 r</x:v>
      </x:c>
    </x:row>
    <x:row r="41">
      <x:c r="A41" s="19" t="n">
        <x:v>8</x:v>
      </x:c>
      <x:c r="B41" s="20" t="str">
        <x:v>26.07.2026</x:v>
      </x:c>
      <x:c r="C41" s="20" t="str">
        <x:v>Kleczew</x:v>
      </x:c>
      <x:c r="D41" s="19" t="n">
        <x:v>1</x:v>
      </x:c>
      <x:c r="E41" s="26" t="str">
        <x:v>PAWEŁ PISKORZ</x:v>
      </x:c>
      <x:c r="F41" s="26" t="str">
        <x:v>Paweł Piskorz</x:v>
      </x:c>
      <x:c r="G41" s="25" t="n">
        <x:v>5</x:v>
      </x:c>
      <x:c r="H41" s="24" t="n">
        <x:v>23</x:v>
      </x:c>
      <x:c r="I41" s="20" t="str">
        <x:v>KLECZEW · 26.07.2026</x:v>
      </x:c>
    </x:row>
    <x:row r="42">
      <x:c r="A42" s="19" t="n">
        <x:v>8</x:v>
      </x:c>
      <x:c r="B42" s="20" t="str">
        <x:v>26.07.2026</x:v>
      </x:c>
      <x:c r="C42" s="20" t="str">
        <x:v>Kleczew</x:v>
      </x:c>
      <x:c r="D42" s="19" t="n">
        <x:v>2</x:v>
      </x:c>
      <x:c r="E42" s="26" t="str">
        <x:v>MARCIN STANKIEWICZ</x:v>
      </x:c>
      <x:c r="F42" s="26" t="str">
        <x:v>Marcin Stankiewicz</x:v>
      </x:c>
      <x:c r="G42" s="25" t="n">
        <x:v>4</x:v>
      </x:c>
      <x:c r="H42" s="24" t="n">
        <x:v>19</x:v>
      </x:c>
      <x:c r="I42" s="20" t="str">
        <x:v>KLECZEW · 26.07.2026</x:v>
      </x:c>
    </x:row>
    <x:row r="43">
      <x:c r="A43" s="19" t="n">
        <x:v>8</x:v>
      </x:c>
      <x:c r="B43" s="20" t="str">
        <x:v>26.07.2026</x:v>
      </x:c>
      <x:c r="C43" s="20" t="str">
        <x:v>Kleczew</x:v>
      </x:c>
      <x:c r="D43" s="19" t="n">
        <x:v>3</x:v>
      </x:c>
      <x:c r="E43" s="26" t="str">
        <x:v>PAWEŁ KOSTRZEWSKI</x:v>
      </x:c>
      <x:c r="F43" s="26" t="str">
        <x:v>Paweł Kostrzewski</x:v>
      </x:c>
      <x:c r="G43" s="25" t="n">
        <x:v>3</x:v>
      </x:c>
      <x:c r="H43" s="24" t="n">
        <x:v>17.5</x:v>
      </x:c>
      <x:c r="I43" s="20" t="str">
        <x:v>KLECZEW · 26.07.2026</x:v>
      </x:c>
    </x:row>
    <x:row r="44">
      <x:c r="A44" s="19" t="n">
        <x:v>8</x:v>
      </x:c>
      <x:c r="B44" s="20" t="str">
        <x:v>26.07.2026</x:v>
      </x:c>
      <x:c r="C44" s="20" t="str">
        <x:v>Kleczew</x:v>
      </x:c>
      <x:c r="D44" s="19" t="n">
        <x:v>4</x:v>
      </x:c>
      <x:c r="E44" s="26" t="str">
        <x:v>ADAM WĄDOŁOWSKI</x:v>
      </x:c>
      <x:c r="F44" s="26" t="str">
        <x:v>Adam Wądołowski</x:v>
      </x:c>
      <x:c r="G44" s="25" t="n">
        <x:v>2</x:v>
      </x:c>
      <x:c r="H44" s="24" t="n">
        <x:v>16</x:v>
      </x:c>
      <x:c r="I44" s="20" t="str">
        <x:v>KLECZEW · 26.07.2026</x:v>
      </x:c>
    </x:row>
    <x:row r="45">
      <x:c r="A45" s="19" t="n">
        <x:v>8</x:v>
      </x:c>
      <x:c r="B45" s="20" t="str">
        <x:v>26.07.2026</x:v>
      </x:c>
      <x:c r="C45" s="20" t="str">
        <x:v>Kleczew</x:v>
      </x:c>
      <x:c r="D45" s="19" t="n">
        <x:v>5</x:v>
      </x:c>
      <x:c r="E45" s="26" t="str">
        <x:v>KRZYSZTOF KACNERSKI</x:v>
      </x:c>
      <x:c r="F45" s="26" t="str">
        <x:v>Krzysztof Kacnerski</x:v>
      </x:c>
      <x:c r="G45" s="25" t="n">
        <x:v>1</x:v>
      </x:c>
      <x:c r="H45" s="24" t="n">
        <x:v>14.5</x:v>
      </x:c>
      <x:c r="I45" s="20" t="str">
        <x:v>KLECZEW · 26.07.2026</x:v>
      </x:c>
    </x:row>
    <x:row r="46">
      <x:c r="A46" s="19" t="n">
        <x:v>9</x:v>
      </x:c>
      <x:c r="B46" s="20" t="str">
        <x:v>26.07.2026</x:v>
      </x:c>
      <x:c r="C46" s="20" t="str">
        <x:v>Lubawka</x:v>
      </x:c>
      <x:c r="D46" s="19" t="n">
        <x:v>1</x:v>
      </x:c>
      <x:c r="E46" s="26" t="str">
        <x:v>PAWEŁ PISKORZ</x:v>
      </x:c>
      <x:c r="F46" s="26" t="str">
        <x:v>Paweł Piskorz</x:v>
      </x:c>
      <x:c r="G46" s="25" t="n">
        <x:v>5</x:v>
      </x:c>
      <x:c r="H46" s="24" t="n">
        <x:v>26</x:v>
      </x:c>
      <x:c r="I46" s="20" t="str">
        <x:v>LUBAWKA · 26.07.2026</x:v>
      </x:c>
    </x:row>
    <x:row r="47">
      <x:c r="A47" s="19" t="n">
        <x:v>9</x:v>
      </x:c>
      <x:c r="B47" s="20" t="str">
        <x:v>26.07.2026</x:v>
      </x:c>
      <x:c r="C47" s="20" t="str">
        <x:v>Lubawka</x:v>
      </x:c>
      <x:c r="D47" s="19" t="n">
        <x:v>2</x:v>
      </x:c>
      <x:c r="E47" s="26" t="str">
        <x:v>RAFAŁ SOJC</x:v>
      </x:c>
      <x:c r="F47" s="26" t="str">
        <x:v>Rafał Sojc</x:v>
      </x:c>
      <x:c r="G47" s="25" t="n">
        <x:v>4</x:v>
      </x:c>
      <x:c r="H47" s="24" t="n">
        <x:v>21</x:v>
      </x:c>
      <x:c r="I47" s="20" t="str">
        <x:v>LUBAWKA · 26.07.2026</x:v>
      </x:c>
    </x:row>
    <x:row r="48">
      <x:c r="A48" s="19" t="n">
        <x:v>9</x:v>
      </x:c>
      <x:c r="B48" s="20" t="str">
        <x:v>26.07.2026</x:v>
      </x:c>
      <x:c r="C48" s="20" t="str">
        <x:v>Lubawka</x:v>
      </x:c>
      <x:c r="D48" s="19" t="n">
        <x:v>3</x:v>
      </x:c>
      <x:c r="E48" s="26" t="str">
        <x:v>PAWEŁ KOSTRZEWSKI</x:v>
      </x:c>
      <x:c r="F48" s="26" t="str">
        <x:v>Paweł Kostrzewski</x:v>
      </x:c>
      <x:c r="G48" s="25" t="n">
        <x:v>3</x:v>
      </x:c>
      <x:c r="H48" s="24" t="n">
        <x:v>18</x:v>
      </x:c>
      <x:c r="I48" s="20" t="str">
        <x:v>LUBAWKA · 26.07.2026</x:v>
      </x:c>
    </x:row>
    <x:row r="49">
      <x:c r="A49" s="19" t="n">
        <x:v>9</x:v>
      </x:c>
      <x:c r="B49" s="20" t="str">
        <x:v>26.07.2026</x:v>
      </x:c>
      <x:c r="C49" s="20" t="str">
        <x:v>Lubawka</x:v>
      </x:c>
      <x:c r="D49" s="19" t="n">
        <x:v>4</x:v>
      </x:c>
      <x:c r="E49" s="26" t="str">
        <x:v>BARTOSZ POSTÓJ</x:v>
      </x:c>
      <x:c r="F49" s="26" t="str">
        <x:v>Bartosz Postój</x:v>
      </x:c>
      <x:c r="G49" s="25" t="n">
        <x:v>2</x:v>
      </x:c>
      <x:c r="H49" s="24" t="n">
        <x:v>16</x:v>
      </x:c>
      <x:c r="I49" s="20" t="str">
        <x:v>LUBAWKA · 26.07.2026</x:v>
      </x:c>
    </x:row>
    <x:row r="50">
      <x:c r="A50" s="19" t="n">
        <x:v>9</x:v>
      </x:c>
      <x:c r="B50" s="20" t="str">
        <x:v>26.07.2026</x:v>
      </x:c>
      <x:c r="C50" s="20" t="str">
        <x:v>Lubawka</x:v>
      </x:c>
      <x:c r="D50" s="19" t="n">
        <x:v>5</x:v>
      </x:c>
      <x:c r="E50" s="26" t="str">
        <x:v>MARIUSZ PACHUT</x:v>
      </x:c>
      <x:c r="F50" s="26" t="str">
        <x:v>Mariusz Pachut</x:v>
      </x:c>
      <x:c r="G50" s="25" t="n">
        <x:v>1</x:v>
      </x:c>
      <x:c r="H50" s="24" t="n">
        <x:v>9</x:v>
      </x:c>
      <x:c r="I50" s="20" t="str">
        <x:v>LUBAWKA · 26.07.2026</x:v>
      </x:c>
    </x:row>
    <x:row r="51">
      <x:c r="A51" s="19" t="n">
        <x:v>10</x:v>
      </x:c>
      <x:c r="B51" s="20" t="str">
        <x:v>02.08.2026</x:v>
      </x:c>
      <x:c r="C51" s="20" t="str">
        <x:v>Radwanice</x:v>
      </x:c>
      <x:c r="D51" s="19" t="n">
        <x:v>1</x:v>
      </x:c>
      <x:c r="E51" s="26" t="str">
        <x:v>JAKUB SZCZECHOWSKI</x:v>
      </x:c>
      <x:c r="F51" s="26" t="str">
        <x:v>Jakub Szczechowski</x:v>
      </x:c>
      <x:c r="G51" s="25" t="n">
        <x:v>5</x:v>
      </x:c>
      <x:c r="H51" s="24" t="n">
        <x:v>28</x:v>
      </x:c>
      <x:c r="I51" s="20" t="str">
        <x:v>RADWANICE 2.08.2026 r</x:v>
      </x:c>
    </x:row>
    <x:row r="52">
      <x:c r="A52" s="19" t="n">
        <x:v>10</x:v>
      </x:c>
      <x:c r="B52" s="20" t="str">
        <x:v>02.08.2026</x:v>
      </x:c>
      <x:c r="C52" s="20" t="str">
        <x:v>Radwanice</x:v>
      </x:c>
      <x:c r="D52" s="19" t="n">
        <x:v>2</x:v>
      </x:c>
      <x:c r="E52" s="26" t="str">
        <x:v>PAWEŁ KOSTRZEWSKI</x:v>
      </x:c>
      <x:c r="F52" s="26" t="str">
        <x:v>Paweł Kostrzewski</x:v>
      </x:c>
      <x:c r="G52" s="25" t="n">
        <x:v>4</x:v>
      </x:c>
      <x:c r="H52" s="24" t="n">
        <x:v>21</x:v>
      </x:c>
      <x:c r="I52" s="20" t="str">
        <x:v>RADWANICE 2.08.2026 r</x:v>
      </x:c>
    </x:row>
    <x:row r="53">
      <x:c r="A53" s="19" t="n">
        <x:v>10</x:v>
      </x:c>
      <x:c r="B53" s="20" t="str">
        <x:v>02.08.2026</x:v>
      </x:c>
      <x:c r="C53" s="20" t="str">
        <x:v>Radwanice</x:v>
      </x:c>
      <x:c r="D53" s="19" t="n">
        <x:v>3</x:v>
      </x:c>
      <x:c r="E53" s="26" t="str">
        <x:v>PAWEŁ PISKORZ</x:v>
      </x:c>
      <x:c r="F53" s="26" t="str">
        <x:v>Paweł Piskorz</x:v>
      </x:c>
      <x:c r="G53" s="25" t="n">
        <x:v>3</x:v>
      </x:c>
      <x:c r="H53" s="24" t="n">
        <x:v>16</x:v>
      </x:c>
      <x:c r="I53" s="20" t="str">
        <x:v>RADWANICE 2.08.2026 r</x:v>
      </x:c>
    </x:row>
    <x:row r="54">
      <x:c r="A54" s="19" t="n">
        <x:v>10</x:v>
      </x:c>
      <x:c r="B54" s="20" t="str">
        <x:v>02.08.2026</x:v>
      </x:c>
      <x:c r="C54" s="20" t="str">
        <x:v>Radwanice</x:v>
      </x:c>
      <x:c r="D54" s="19" t="n">
        <x:v>4</x:v>
      </x:c>
      <x:c r="E54" s="26" t="str">
        <x:v>KRZYSZTOF KACNERSKI</x:v>
      </x:c>
      <x:c r="F54" s="26" t="str">
        <x:v>Krzysztof Kacnerski</x:v>
      </x:c>
      <x:c r="G54" s="25" t="n">
        <x:v>2</x:v>
      </x:c>
      <x:c r="H54" s="24" t="n">
        <x:v>15</x:v>
      </x:c>
      <x:c r="I54" s="20" t="str">
        <x:v>RADWANICE 2.08.2026 r</x:v>
      </x:c>
    </x:row>
    <x:row r="55">
      <x:c r="A55" s="19" t="n">
        <x:v>10</x:v>
      </x:c>
      <x:c r="B55" s="20" t="str">
        <x:v>02.08.2026</x:v>
      </x:c>
      <x:c r="C55" s="20" t="str">
        <x:v>Radwanice</x:v>
      </x:c>
      <x:c r="D55" s="19" t="n">
        <x:v>5</x:v>
      </x:c>
      <x:c r="E55" s="26" t="str">
        <x:v>MARIUSZ PACHUT</x:v>
      </x:c>
      <x:c r="F55" s="26" t="str">
        <x:v>Mariusz Pachut</x:v>
      </x:c>
      <x:c r="G55" s="25" t="n">
        <x:v>1</x:v>
      </x:c>
      <x:c r="H55" s="24" t="n">
        <x:v>6</x:v>
      </x:c>
      <x:c r="I55" s="20" t="str">
        <x:v>RADWANICE 2.08.2026 r</x:v>
      </x:c>
    </x:row>
    <x:row r="56">
      <x:c r="A56" s="18" t="str"/>
      <x:c r="B56" s="17" t="str">
        <x:f>IFERROR(VLOOKUP(A56,Zawody!$A$6:$F$25,2,FALSE),"")</x:f>
      </x:c>
      <x:c r="C56" s="17" t="str">
        <x:f>IFERROR(VLOOKUP(A56,Zawody!$A$6:$F$25,3,FALSE),"")</x:f>
      </x:c>
      <x:c r="D56" s="18" t="str"/>
      <x:c r="E56" s="17" t="str"/>
      <x:c r="F56" s="17" t="str"/>
      <x:c r="G56" s="25" t="str">
        <x:f>IF(OR(A56="",D56=""),"",IF(AND(D56&gt;=1,D56&lt;=5),6-D56,0))</x:f>
      </x:c>
      <x:c r="H56" s="22" t="str"/>
      <x:c r="I56" s="17" t="str"/>
    </x:row>
    <x:row r="57">
      <x:c r="A57" s="18" t="str"/>
      <x:c r="B57" s="17" t="str">
        <x:f>IFERROR(VLOOKUP(A57,Zawody!$A$6:$F$25,2,FALSE),"")</x:f>
      </x:c>
      <x:c r="C57" s="17" t="str">
        <x:f>IFERROR(VLOOKUP(A57,Zawody!$A$6:$F$25,3,FALSE),"")</x:f>
      </x:c>
      <x:c r="D57" s="18" t="str"/>
      <x:c r="E57" s="17" t="str"/>
      <x:c r="F57" s="17" t="str"/>
      <x:c r="G57" s="25" t="str">
        <x:f>IF(OR(A57="",D57=""),"",IF(AND(D57&gt;=1,D57&lt;=5),6-D57,0))</x:f>
      </x:c>
      <x:c r="H57" s="22" t="str"/>
      <x:c r="I57" s="17" t="str"/>
    </x:row>
    <x:row r="58">
      <x:c r="A58" s="18" t="str"/>
      <x:c r="B58" s="17" t="str">
        <x:f>IFERROR(VLOOKUP(A58,Zawody!$A$6:$F$25,2,FALSE),"")</x:f>
      </x:c>
      <x:c r="C58" s="17" t="str">
        <x:f>IFERROR(VLOOKUP(A58,Zawody!$A$6:$F$25,3,FALSE),"")</x:f>
      </x:c>
      <x:c r="D58" s="18" t="str"/>
      <x:c r="E58" s="17" t="str"/>
      <x:c r="F58" s="17" t="str"/>
      <x:c r="G58" s="25" t="str">
        <x:f>IF(OR(A58="",D58=""),"",IF(AND(D58&gt;=1,D58&lt;=5),6-D58,0))</x:f>
      </x:c>
      <x:c r="H58" s="22" t="str"/>
      <x:c r="I58" s="17" t="str"/>
    </x:row>
    <x:row r="59">
      <x:c r="A59" s="18" t="str"/>
      <x:c r="B59" s="17" t="str">
        <x:f>IFERROR(VLOOKUP(A59,Zawody!$A$6:$F$25,2,FALSE),"")</x:f>
      </x:c>
      <x:c r="C59" s="17" t="str">
        <x:f>IFERROR(VLOOKUP(A59,Zawody!$A$6:$F$25,3,FALSE),"")</x:f>
      </x:c>
      <x:c r="D59" s="18" t="str"/>
      <x:c r="E59" s="17" t="str"/>
      <x:c r="F59" s="17" t="str"/>
      <x:c r="G59" s="25" t="str">
        <x:f>IF(OR(A59="",D59=""),"",IF(AND(D59&gt;=1,D59&lt;=5),6-D59,0))</x:f>
      </x:c>
      <x:c r="H59" s="22" t="str"/>
      <x:c r="I59" s="17" t="str"/>
    </x:row>
    <x:row r="60">
      <x:c r="A60" s="18" t="str"/>
      <x:c r="B60" s="17" t="str">
        <x:f>IFERROR(VLOOKUP(A60,Zawody!$A$6:$F$25,2,FALSE),"")</x:f>
      </x:c>
      <x:c r="C60" s="17" t="str">
        <x:f>IFERROR(VLOOKUP(A60,Zawody!$A$6:$F$25,3,FALSE),"")</x:f>
      </x:c>
      <x:c r="D60" s="18" t="str"/>
      <x:c r="E60" s="17" t="str"/>
      <x:c r="F60" s="17" t="str"/>
      <x:c r="G60" s="25" t="str">
        <x:f>IF(OR(A60="",D60=""),"",IF(AND(D60&gt;=1,D60&lt;=5),6-D60,0))</x:f>
      </x:c>
      <x:c r="H60" s="22" t="str"/>
      <x:c r="I60" s="17" t="str"/>
    </x:row>
    <x:row r="61">
      <x:c r="A61" s="18" t="str"/>
      <x:c r="B61" s="17" t="str">
        <x:f>IFERROR(VLOOKUP(A61,Zawody!$A$6:$F$25,2,FALSE),"")</x:f>
      </x:c>
      <x:c r="C61" s="17" t="str">
        <x:f>IFERROR(VLOOKUP(A61,Zawody!$A$6:$F$25,3,FALSE),"")</x:f>
      </x:c>
      <x:c r="D61" s="18" t="str"/>
      <x:c r="E61" s="17" t="str"/>
      <x:c r="F61" s="17" t="str"/>
      <x:c r="G61" s="25" t="str">
        <x:f>IF(OR(A61="",D61=""),"",IF(AND(D61&gt;=1,D61&lt;=5),6-D61,0))</x:f>
      </x:c>
      <x:c r="H61" s="22" t="str"/>
      <x:c r="I61" s="17" t="str"/>
    </x:row>
    <x:row r="62">
      <x:c r="A62" s="18" t="str"/>
      <x:c r="B62" s="17" t="str">
        <x:f>IFERROR(VLOOKUP(A62,Zawody!$A$6:$F$25,2,FALSE),"")</x:f>
      </x:c>
      <x:c r="C62" s="17" t="str">
        <x:f>IFERROR(VLOOKUP(A62,Zawody!$A$6:$F$25,3,FALSE),"")</x:f>
      </x:c>
      <x:c r="D62" s="18" t="str"/>
      <x:c r="E62" s="17" t="str"/>
      <x:c r="F62" s="17" t="str"/>
      <x:c r="G62" s="25" t="str">
        <x:f>IF(OR(A62="",D62=""),"",IF(AND(D62&gt;=1,D62&lt;=5),6-D62,0))</x:f>
      </x:c>
      <x:c r="H62" s="22" t="str"/>
      <x:c r="I62" s="17" t="str"/>
    </x:row>
    <x:row r="63">
      <x:c r="A63" s="18" t="str"/>
      <x:c r="B63" s="17" t="str">
        <x:f>IFERROR(VLOOKUP(A63,Zawody!$A$6:$F$25,2,FALSE),"")</x:f>
      </x:c>
      <x:c r="C63" s="17" t="str">
        <x:f>IFERROR(VLOOKUP(A63,Zawody!$A$6:$F$25,3,FALSE),"")</x:f>
      </x:c>
      <x:c r="D63" s="18" t="str"/>
      <x:c r="E63" s="17" t="str"/>
      <x:c r="F63" s="17" t="str"/>
      <x:c r="G63" s="25" t="str">
        <x:f>IF(OR(A63="",D63=""),"",IF(AND(D63&gt;=1,D63&lt;=5),6-D63,0))</x:f>
      </x:c>
      <x:c r="H63" s="22" t="str"/>
      <x:c r="I63" s="17" t="str"/>
    </x:row>
    <x:row r="64">
      <x:c r="A64" s="18" t="str"/>
      <x:c r="B64" s="17" t="str">
        <x:f>IFERROR(VLOOKUP(A64,Zawody!$A$6:$F$25,2,FALSE),"")</x:f>
      </x:c>
      <x:c r="C64" s="17" t="str">
        <x:f>IFERROR(VLOOKUP(A64,Zawody!$A$6:$F$25,3,FALSE),"")</x:f>
      </x:c>
      <x:c r="D64" s="18" t="str"/>
      <x:c r="E64" s="17" t="str"/>
      <x:c r="F64" s="17" t="str"/>
      <x:c r="G64" s="25" t="str">
        <x:f>IF(OR(A64="",D64=""),"",IF(AND(D64&gt;=1,D64&lt;=5),6-D64,0))</x:f>
      </x:c>
      <x:c r="H64" s="22" t="str"/>
      <x:c r="I64" s="17" t="str"/>
    </x:row>
    <x:row r="65">
      <x:c r="A65" s="18" t="str"/>
      <x:c r="B65" s="17" t="str">
        <x:f>IFERROR(VLOOKUP(A65,Zawody!$A$6:$F$25,2,FALSE),"")</x:f>
      </x:c>
      <x:c r="C65" s="17" t="str">
        <x:f>IFERROR(VLOOKUP(A65,Zawody!$A$6:$F$25,3,FALSE),"")</x:f>
      </x:c>
      <x:c r="D65" s="18" t="str"/>
      <x:c r="E65" s="17" t="str"/>
      <x:c r="F65" s="17" t="str"/>
      <x:c r="G65" s="25" t="str">
        <x:f>IF(OR(A65="",D65=""),"",IF(AND(D65&gt;=1,D65&lt;=5),6-D65,0))</x:f>
      </x:c>
      <x:c r="H65" s="22" t="str"/>
      <x:c r="I65" s="17" t="str"/>
    </x:row>
    <x:row r="66">
      <x:c r="A66" s="18" t="str"/>
      <x:c r="B66" s="17" t="str">
        <x:f>IFERROR(VLOOKUP(A66,Zawody!$A$6:$F$25,2,FALSE),"")</x:f>
      </x:c>
      <x:c r="C66" s="17" t="str">
        <x:f>IFERROR(VLOOKUP(A66,Zawody!$A$6:$F$25,3,FALSE),"")</x:f>
      </x:c>
      <x:c r="D66" s="18" t="str"/>
      <x:c r="E66" s="17" t="str"/>
      <x:c r="F66" s="17" t="str"/>
      <x:c r="G66" s="25" t="str">
        <x:f>IF(OR(A66="",D66=""),"",IF(AND(D66&gt;=1,D66&lt;=5),6-D66,0))</x:f>
      </x:c>
      <x:c r="H66" s="22" t="str"/>
      <x:c r="I66" s="17" t="str"/>
    </x:row>
    <x:row r="67">
      <x:c r="A67" s="18" t="str"/>
      <x:c r="B67" s="17" t="str">
        <x:f>IFERROR(VLOOKUP(A67,Zawody!$A$6:$F$25,2,FALSE),"")</x:f>
      </x:c>
      <x:c r="C67" s="17" t="str">
        <x:f>IFERROR(VLOOKUP(A67,Zawody!$A$6:$F$25,3,FALSE),"")</x:f>
      </x:c>
      <x:c r="D67" s="18" t="str"/>
      <x:c r="E67" s="17" t="str"/>
      <x:c r="F67" s="17" t="str"/>
      <x:c r="G67" s="25" t="str">
        <x:f>IF(OR(A67="",D67=""),"",IF(AND(D67&gt;=1,D67&lt;=5),6-D67,0))</x:f>
      </x:c>
      <x:c r="H67" s="22" t="str"/>
      <x:c r="I67" s="17" t="str"/>
    </x:row>
    <x:row r="68">
      <x:c r="A68" s="18" t="str"/>
      <x:c r="B68" s="17" t="str">
        <x:f>IFERROR(VLOOKUP(A68,Zawody!$A$6:$F$25,2,FALSE),"")</x:f>
      </x:c>
      <x:c r="C68" s="17" t="str">
        <x:f>IFERROR(VLOOKUP(A68,Zawody!$A$6:$F$25,3,FALSE),"")</x:f>
      </x:c>
      <x:c r="D68" s="18" t="str"/>
      <x:c r="E68" s="17" t="str"/>
      <x:c r="F68" s="17" t="str"/>
      <x:c r="G68" s="25" t="str">
        <x:f>IF(OR(A68="",D68=""),"",IF(AND(D68&gt;=1,D68&lt;=5),6-D68,0))</x:f>
      </x:c>
      <x:c r="H68" s="22" t="str"/>
      <x:c r="I68" s="17" t="str"/>
    </x:row>
    <x:row r="69">
      <x:c r="A69" s="18" t="str"/>
      <x:c r="B69" s="17" t="str">
        <x:f>IFERROR(VLOOKUP(A69,Zawody!$A$6:$F$25,2,FALSE),"")</x:f>
      </x:c>
      <x:c r="C69" s="17" t="str">
        <x:f>IFERROR(VLOOKUP(A69,Zawody!$A$6:$F$25,3,FALSE),"")</x:f>
      </x:c>
      <x:c r="D69" s="18" t="str"/>
      <x:c r="E69" s="17" t="str"/>
      <x:c r="F69" s="17" t="str"/>
      <x:c r="G69" s="25" t="str">
        <x:f>IF(OR(A69="",D69=""),"",IF(AND(D69&gt;=1,D69&lt;=5),6-D69,0))</x:f>
      </x:c>
      <x:c r="H69" s="22" t="str"/>
      <x:c r="I69" s="17" t="str"/>
    </x:row>
    <x:row r="70">
      <x:c r="A70" s="18" t="str"/>
      <x:c r="B70" s="17" t="str">
        <x:f>IFERROR(VLOOKUP(A70,Zawody!$A$6:$F$25,2,FALSE),"")</x:f>
      </x:c>
      <x:c r="C70" s="17" t="str">
        <x:f>IFERROR(VLOOKUP(A70,Zawody!$A$6:$F$25,3,FALSE),"")</x:f>
      </x:c>
      <x:c r="D70" s="18" t="str"/>
      <x:c r="E70" s="17" t="str"/>
      <x:c r="F70" s="17" t="str"/>
      <x:c r="G70" s="25" t="str">
        <x:f>IF(OR(A70="",D70=""),"",IF(AND(D70&gt;=1,D70&lt;=5),6-D70,0))</x:f>
      </x:c>
      <x:c r="H70" s="22" t="str"/>
      <x:c r="I70" s="17" t="str"/>
    </x:row>
    <x:row r="71">
      <x:c r="A71" s="18" t="str"/>
      <x:c r="B71" s="17" t="str">
        <x:f>IFERROR(VLOOKUP(A71,Zawody!$A$6:$F$25,2,FALSE),"")</x:f>
      </x:c>
      <x:c r="C71" s="17" t="str">
        <x:f>IFERROR(VLOOKUP(A71,Zawody!$A$6:$F$25,3,FALSE),"")</x:f>
      </x:c>
      <x:c r="D71" s="18" t="str"/>
      <x:c r="E71" s="17" t="str"/>
      <x:c r="F71" s="17" t="str"/>
      <x:c r="G71" s="25" t="str">
        <x:f>IF(OR(A71="",D71=""),"",IF(AND(D71&gt;=1,D71&lt;=5),6-D71,0))</x:f>
      </x:c>
      <x:c r="H71" s="22" t="str"/>
      <x:c r="I71" s="17" t="str"/>
    </x:row>
    <x:row r="72">
      <x:c r="A72" s="18" t="str"/>
      <x:c r="B72" s="17" t="str">
        <x:f>IFERROR(VLOOKUP(A72,Zawody!$A$6:$F$25,2,FALSE),"")</x:f>
      </x:c>
      <x:c r="C72" s="17" t="str">
        <x:f>IFERROR(VLOOKUP(A72,Zawody!$A$6:$F$25,3,FALSE),"")</x:f>
      </x:c>
      <x:c r="D72" s="18" t="str"/>
      <x:c r="E72" s="17" t="str"/>
      <x:c r="F72" s="17" t="str"/>
      <x:c r="G72" s="25" t="str">
        <x:f>IF(OR(A72="",D72=""),"",IF(AND(D72&gt;=1,D72&lt;=5),6-D72,0))</x:f>
      </x:c>
      <x:c r="H72" s="22" t="str"/>
      <x:c r="I72" s="17" t="str"/>
    </x:row>
    <x:row r="73">
      <x:c r="A73" s="18" t="str"/>
      <x:c r="B73" s="17" t="str">
        <x:f>IFERROR(VLOOKUP(A73,Zawody!$A$6:$F$25,2,FALSE),"")</x:f>
      </x:c>
      <x:c r="C73" s="17" t="str">
        <x:f>IFERROR(VLOOKUP(A73,Zawody!$A$6:$F$25,3,FALSE),"")</x:f>
      </x:c>
      <x:c r="D73" s="18" t="str"/>
      <x:c r="E73" s="17" t="str"/>
      <x:c r="F73" s="17" t="str"/>
      <x:c r="G73" s="25" t="str">
        <x:f>IF(OR(A73="",D73=""),"",IF(AND(D73&gt;=1,D73&lt;=5),6-D73,0))</x:f>
      </x:c>
      <x:c r="H73" s="22" t="str"/>
      <x:c r="I73" s="17" t="str"/>
    </x:row>
    <x:row r="74">
      <x:c r="A74" s="18" t="str"/>
      <x:c r="B74" s="17" t="str">
        <x:f>IFERROR(VLOOKUP(A74,Zawody!$A$6:$F$25,2,FALSE),"")</x:f>
      </x:c>
      <x:c r="C74" s="17" t="str">
        <x:f>IFERROR(VLOOKUP(A74,Zawody!$A$6:$F$25,3,FALSE),"")</x:f>
      </x:c>
      <x:c r="D74" s="18" t="str"/>
      <x:c r="E74" s="17" t="str"/>
      <x:c r="F74" s="17" t="str"/>
      <x:c r="G74" s="25" t="str">
        <x:f>IF(OR(A74="",D74=""),"",IF(AND(D74&gt;=1,D74&lt;=5),6-D74,0))</x:f>
      </x:c>
      <x:c r="H74" s="22" t="str"/>
      <x:c r="I74" s="17" t="str"/>
    </x:row>
    <x:row r="75">
      <x:c r="A75" s="18" t="str"/>
      <x:c r="B75" s="17" t="str">
        <x:f>IFERROR(VLOOKUP(A75,Zawody!$A$6:$F$25,2,FALSE),"")</x:f>
      </x:c>
      <x:c r="C75" s="17" t="str">
        <x:f>IFERROR(VLOOKUP(A75,Zawody!$A$6:$F$25,3,FALSE),"")</x:f>
      </x:c>
      <x:c r="D75" s="18" t="str"/>
      <x:c r="E75" s="17" t="str"/>
      <x:c r="F75" s="17" t="str"/>
      <x:c r="G75" s="25" t="str">
        <x:f>IF(OR(A75="",D75=""),"",IF(AND(D75&gt;=1,D75&lt;=5),6-D75,0))</x:f>
      </x:c>
      <x:c r="H75" s="22" t="str"/>
      <x:c r="I75" s="17" t="str"/>
    </x:row>
    <x:row r="76">
      <x:c r="A76" s="18" t="str"/>
      <x:c r="B76" s="17" t="str">
        <x:f>IFERROR(VLOOKUP(A76,Zawody!$A$6:$F$25,2,FALSE),"")</x:f>
      </x:c>
      <x:c r="C76" s="17" t="str">
        <x:f>IFERROR(VLOOKUP(A76,Zawody!$A$6:$F$25,3,FALSE),"")</x:f>
      </x:c>
      <x:c r="D76" s="18" t="str"/>
      <x:c r="E76" s="17" t="str"/>
      <x:c r="F76" s="17" t="str"/>
      <x:c r="G76" s="25" t="str">
        <x:f>IF(OR(A76="",D76=""),"",IF(AND(D76&gt;=1,D76&lt;=5),6-D76,0))</x:f>
      </x:c>
      <x:c r="H76" s="22" t="str"/>
      <x:c r="I76" s="17" t="str"/>
    </x:row>
    <x:row r="77">
      <x:c r="A77" s="18" t="str"/>
      <x:c r="B77" s="17" t="str">
        <x:f>IFERROR(VLOOKUP(A77,Zawody!$A$6:$F$25,2,FALSE),"")</x:f>
      </x:c>
      <x:c r="C77" s="17" t="str">
        <x:f>IFERROR(VLOOKUP(A77,Zawody!$A$6:$F$25,3,FALSE),"")</x:f>
      </x:c>
      <x:c r="D77" s="18" t="str"/>
      <x:c r="E77" s="17" t="str"/>
      <x:c r="F77" s="17" t="str"/>
      <x:c r="G77" s="25" t="str">
        <x:f>IF(OR(A77="",D77=""),"",IF(AND(D77&gt;=1,D77&lt;=5),6-D77,0))</x:f>
      </x:c>
      <x:c r="H77" s="22" t="str"/>
      <x:c r="I77" s="17" t="str"/>
    </x:row>
    <x:row r="78">
      <x:c r="A78" s="18" t="str"/>
      <x:c r="B78" s="17" t="str">
        <x:f>IFERROR(VLOOKUP(A78,Zawody!$A$6:$F$25,2,FALSE),"")</x:f>
      </x:c>
      <x:c r="C78" s="17" t="str">
        <x:f>IFERROR(VLOOKUP(A78,Zawody!$A$6:$F$25,3,FALSE),"")</x:f>
      </x:c>
      <x:c r="D78" s="18" t="str"/>
      <x:c r="E78" s="17" t="str"/>
      <x:c r="F78" s="17" t="str"/>
      <x:c r="G78" s="25" t="str">
        <x:f>IF(OR(A78="",D78=""),"",IF(AND(D78&gt;=1,D78&lt;=5),6-D78,0))</x:f>
      </x:c>
      <x:c r="H78" s="22" t="str"/>
      <x:c r="I78" s="17" t="str"/>
    </x:row>
    <x:row r="79">
      <x:c r="A79" s="18" t="str"/>
      <x:c r="B79" s="17" t="str">
        <x:f>IFERROR(VLOOKUP(A79,Zawody!$A$6:$F$25,2,FALSE),"")</x:f>
      </x:c>
      <x:c r="C79" s="17" t="str">
        <x:f>IFERROR(VLOOKUP(A79,Zawody!$A$6:$F$25,3,FALSE),"")</x:f>
      </x:c>
      <x:c r="D79" s="18" t="str"/>
      <x:c r="E79" s="17" t="str"/>
      <x:c r="F79" s="17" t="str"/>
      <x:c r="G79" s="25" t="str">
        <x:f>IF(OR(A79="",D79=""),"",IF(AND(D79&gt;=1,D79&lt;=5),6-D79,0))</x:f>
      </x:c>
      <x:c r="H79" s="22" t="str"/>
      <x:c r="I79" s="17" t="str"/>
    </x:row>
    <x:row r="80">
      <x:c r="A80" s="18" t="str"/>
      <x:c r="B80" s="17" t="str">
        <x:f>IFERROR(VLOOKUP(A80,Zawody!$A$6:$F$25,2,FALSE),"")</x:f>
      </x:c>
      <x:c r="C80" s="17" t="str">
        <x:f>IFERROR(VLOOKUP(A80,Zawody!$A$6:$F$25,3,FALSE),"")</x:f>
      </x:c>
      <x:c r="D80" s="18" t="str"/>
      <x:c r="E80" s="17" t="str"/>
      <x:c r="F80" s="17" t="str"/>
      <x:c r="G80" s="25" t="str">
        <x:f>IF(OR(A80="",D80=""),"",IF(AND(D80&gt;=1,D80&lt;=5),6-D80,0))</x:f>
      </x:c>
      <x:c r="H80" s="22" t="str"/>
      <x:c r="I80" s="17" t="str"/>
    </x:row>
    <x:row r="81">
      <x:c r="A81" s="18" t="str"/>
      <x:c r="B81" s="17" t="str">
        <x:f>IFERROR(VLOOKUP(A81,Zawody!$A$6:$F$25,2,FALSE),"")</x:f>
      </x:c>
      <x:c r="C81" s="17" t="str">
        <x:f>IFERROR(VLOOKUP(A81,Zawody!$A$6:$F$25,3,FALSE),"")</x:f>
      </x:c>
      <x:c r="D81" s="18" t="str"/>
      <x:c r="E81" s="17" t="str"/>
      <x:c r="F81" s="17" t="str"/>
      <x:c r="G81" s="25" t="str">
        <x:f>IF(OR(A81="",D81=""),"",IF(AND(D81&gt;=1,D81&lt;=5),6-D81,0))</x:f>
      </x:c>
      <x:c r="H81" s="22" t="str"/>
      <x:c r="I81" s="17" t="str"/>
    </x:row>
    <x:row r="82">
      <x:c r="A82" s="18" t="str"/>
      <x:c r="B82" s="17" t="str">
        <x:f>IFERROR(VLOOKUP(A82,Zawody!$A$6:$F$25,2,FALSE),"")</x:f>
      </x:c>
      <x:c r="C82" s="17" t="str">
        <x:f>IFERROR(VLOOKUP(A82,Zawody!$A$6:$F$25,3,FALSE),"")</x:f>
      </x:c>
      <x:c r="D82" s="18" t="str"/>
      <x:c r="E82" s="17" t="str"/>
      <x:c r="F82" s="17" t="str"/>
      <x:c r="G82" s="25" t="str">
        <x:f>IF(OR(A82="",D82=""),"",IF(AND(D82&gt;=1,D82&lt;=5),6-D82,0))</x:f>
      </x:c>
      <x:c r="H82" s="22" t="str"/>
      <x:c r="I82" s="17" t="str"/>
    </x:row>
    <x:row r="83">
      <x:c r="A83" s="18" t="str"/>
      <x:c r="B83" s="17" t="str">
        <x:f>IFERROR(VLOOKUP(A83,Zawody!$A$6:$F$25,2,FALSE),"")</x:f>
      </x:c>
      <x:c r="C83" s="17" t="str">
        <x:f>IFERROR(VLOOKUP(A83,Zawody!$A$6:$F$25,3,FALSE),"")</x:f>
      </x:c>
      <x:c r="D83" s="18" t="str"/>
      <x:c r="E83" s="17" t="str"/>
      <x:c r="F83" s="17" t="str"/>
      <x:c r="G83" s="25" t="str">
        <x:f>IF(OR(A83="",D83=""),"",IF(AND(D83&gt;=1,D83&lt;=5),6-D83,0))</x:f>
      </x:c>
      <x:c r="H83" s="22" t="str"/>
      <x:c r="I83" s="17" t="str"/>
    </x:row>
    <x:row r="84">
      <x:c r="A84" s="18" t="str"/>
      <x:c r="B84" s="17" t="str">
        <x:f>IFERROR(VLOOKUP(A84,Zawody!$A$6:$F$25,2,FALSE),"")</x:f>
      </x:c>
      <x:c r="C84" s="17" t="str">
        <x:f>IFERROR(VLOOKUP(A84,Zawody!$A$6:$F$25,3,FALSE),"")</x:f>
      </x:c>
      <x:c r="D84" s="18" t="str"/>
      <x:c r="E84" s="17" t="str"/>
      <x:c r="F84" s="17" t="str"/>
      <x:c r="G84" s="25" t="str">
        <x:f>IF(OR(A84="",D84=""),"",IF(AND(D84&gt;=1,D84&lt;=5),6-D84,0))</x:f>
      </x:c>
      <x:c r="H84" s="22" t="str"/>
      <x:c r="I84" s="17" t="str"/>
    </x:row>
    <x:row r="85">
      <x:c r="A85" s="18" t="str"/>
      <x:c r="B85" s="17" t="str">
        <x:f>IFERROR(VLOOKUP(A85,Zawody!$A$6:$F$25,2,FALSE),"")</x:f>
      </x:c>
      <x:c r="C85" s="17" t="str">
        <x:f>IFERROR(VLOOKUP(A85,Zawody!$A$6:$F$25,3,FALSE),"")</x:f>
      </x:c>
      <x:c r="D85" s="18" t="str"/>
      <x:c r="E85" s="17" t="str"/>
      <x:c r="F85" s="17" t="str"/>
      <x:c r="G85" s="25" t="str">
        <x:f>IF(OR(A85="",D85=""),"",IF(AND(D85&gt;=1,D85&lt;=5),6-D85,0))</x:f>
      </x:c>
      <x:c r="H85" s="22" t="str"/>
      <x:c r="I85" s="17" t="str"/>
    </x:row>
    <x:row r="86">
      <x:c r="A86" s="18" t="str"/>
      <x:c r="B86" s="17" t="str">
        <x:f>IFERROR(VLOOKUP(A86,Zawody!$A$6:$F$25,2,FALSE),"")</x:f>
      </x:c>
      <x:c r="C86" s="17" t="str">
        <x:f>IFERROR(VLOOKUP(A86,Zawody!$A$6:$F$25,3,FALSE),"")</x:f>
      </x:c>
      <x:c r="D86" s="18" t="str"/>
      <x:c r="E86" s="17" t="str"/>
      <x:c r="F86" s="17" t="str"/>
      <x:c r="G86" s="25" t="str">
        <x:f>IF(OR(A86="",D86=""),"",IF(AND(D86&gt;=1,D86&lt;=5),6-D86,0))</x:f>
      </x:c>
      <x:c r="H86" s="22" t="str"/>
      <x:c r="I86" s="17" t="str"/>
    </x:row>
    <x:row r="87">
      <x:c r="A87" s="18" t="str"/>
      <x:c r="B87" s="17" t="str">
        <x:f>IFERROR(VLOOKUP(A87,Zawody!$A$6:$F$25,2,FALSE),"")</x:f>
      </x:c>
      <x:c r="C87" s="17" t="str">
        <x:f>IFERROR(VLOOKUP(A87,Zawody!$A$6:$F$25,3,FALSE),"")</x:f>
      </x:c>
      <x:c r="D87" s="18" t="str"/>
      <x:c r="E87" s="17" t="str"/>
      <x:c r="F87" s="17" t="str"/>
      <x:c r="G87" s="25" t="str">
        <x:f>IF(OR(A87="",D87=""),"",IF(AND(D87&gt;=1,D87&lt;=5),6-D87,0))</x:f>
      </x:c>
      <x:c r="H87" s="22" t="str"/>
      <x:c r="I87" s="17" t="str"/>
    </x:row>
    <x:row r="88">
      <x:c r="A88" s="18" t="str"/>
      <x:c r="B88" s="17" t="str">
        <x:f>IFERROR(VLOOKUP(A88,Zawody!$A$6:$F$25,2,FALSE),"")</x:f>
      </x:c>
      <x:c r="C88" s="17" t="str">
        <x:f>IFERROR(VLOOKUP(A88,Zawody!$A$6:$F$25,3,FALSE),"")</x:f>
      </x:c>
      <x:c r="D88" s="18" t="str"/>
      <x:c r="E88" s="17" t="str"/>
      <x:c r="F88" s="17" t="str"/>
      <x:c r="G88" s="25" t="str">
        <x:f>IF(OR(A88="",D88=""),"",IF(AND(D88&gt;=1,D88&lt;=5),6-D88,0))</x:f>
      </x:c>
      <x:c r="H88" s="22" t="str"/>
      <x:c r="I88" s="17" t="str"/>
    </x:row>
    <x:row r="89">
      <x:c r="A89" s="18" t="str"/>
      <x:c r="B89" s="17" t="str">
        <x:f>IFERROR(VLOOKUP(A89,Zawody!$A$6:$F$25,2,FALSE),"")</x:f>
      </x:c>
      <x:c r="C89" s="17" t="str">
        <x:f>IFERROR(VLOOKUP(A89,Zawody!$A$6:$F$25,3,FALSE),"")</x:f>
      </x:c>
      <x:c r="D89" s="18" t="str"/>
      <x:c r="E89" s="17" t="str"/>
      <x:c r="F89" s="17" t="str"/>
      <x:c r="G89" s="25" t="str">
        <x:f>IF(OR(A89="",D89=""),"",IF(AND(D89&gt;=1,D89&lt;=5),6-D89,0))</x:f>
      </x:c>
      <x:c r="H89" s="22" t="str"/>
      <x:c r="I89" s="17" t="str"/>
    </x:row>
    <x:row r="90">
      <x:c r="A90" s="18" t="str"/>
      <x:c r="B90" s="17" t="str">
        <x:f>IFERROR(VLOOKUP(A90,Zawody!$A$6:$F$25,2,FALSE),"")</x:f>
      </x:c>
      <x:c r="C90" s="17" t="str">
        <x:f>IFERROR(VLOOKUP(A90,Zawody!$A$6:$F$25,3,FALSE),"")</x:f>
      </x:c>
      <x:c r="D90" s="18" t="str"/>
      <x:c r="E90" s="17" t="str"/>
      <x:c r="F90" s="17" t="str"/>
      <x:c r="G90" s="25" t="str">
        <x:f>IF(OR(A90="",D90=""),"",IF(AND(D90&gt;=1,D90&lt;=5),6-D90,0))</x:f>
      </x:c>
      <x:c r="H90" s="22" t="str"/>
      <x:c r="I90" s="17" t="str"/>
    </x:row>
    <x:row r="91">
      <x:c r="A91" s="18" t="str"/>
      <x:c r="B91" s="17" t="str">
        <x:f>IFERROR(VLOOKUP(A91,Zawody!$A$6:$F$25,2,FALSE),"")</x:f>
      </x:c>
      <x:c r="C91" s="17" t="str">
        <x:f>IFERROR(VLOOKUP(A91,Zawody!$A$6:$F$25,3,FALSE),"")</x:f>
      </x:c>
      <x:c r="D91" s="18" t="str"/>
      <x:c r="E91" s="17" t="str"/>
      <x:c r="F91" s="17" t="str"/>
      <x:c r="G91" s="25" t="str">
        <x:f>IF(OR(A91="",D91=""),"",IF(AND(D91&gt;=1,D91&lt;=5),6-D91,0))</x:f>
      </x:c>
      <x:c r="H91" s="22" t="str"/>
      <x:c r="I91" s="17" t="str"/>
    </x:row>
    <x:row r="92">
      <x:c r="A92" s="18" t="str"/>
      <x:c r="B92" s="17" t="str">
        <x:f>IFERROR(VLOOKUP(A92,Zawody!$A$6:$F$25,2,FALSE),"")</x:f>
      </x:c>
      <x:c r="C92" s="17" t="str">
        <x:f>IFERROR(VLOOKUP(A92,Zawody!$A$6:$F$25,3,FALSE),"")</x:f>
      </x:c>
      <x:c r="D92" s="18" t="str"/>
      <x:c r="E92" s="17" t="str"/>
      <x:c r="F92" s="17" t="str"/>
      <x:c r="G92" s="25" t="str">
        <x:f>IF(OR(A92="",D92=""),"",IF(AND(D92&gt;=1,D92&lt;=5),6-D92,0))</x:f>
      </x:c>
      <x:c r="H92" s="22" t="str"/>
      <x:c r="I92" s="17" t="str"/>
    </x:row>
    <x:row r="93">
      <x:c r="A93" s="18" t="str"/>
      <x:c r="B93" s="17" t="str">
        <x:f>IFERROR(VLOOKUP(A93,Zawody!$A$6:$F$25,2,FALSE),"")</x:f>
      </x:c>
      <x:c r="C93" s="17" t="str">
        <x:f>IFERROR(VLOOKUP(A93,Zawody!$A$6:$F$25,3,FALSE),"")</x:f>
      </x:c>
      <x:c r="D93" s="18" t="str"/>
      <x:c r="E93" s="17" t="str"/>
      <x:c r="F93" s="17" t="str"/>
      <x:c r="G93" s="25" t="str">
        <x:f>IF(OR(A93="",D93=""),"",IF(AND(D93&gt;=1,D93&lt;=5),6-D93,0))</x:f>
      </x:c>
      <x:c r="H93" s="22" t="str"/>
      <x:c r="I93" s="17" t="str"/>
    </x:row>
    <x:row r="94">
      <x:c r="A94" s="18" t="str"/>
      <x:c r="B94" s="17" t="str">
        <x:f>IFERROR(VLOOKUP(A94,Zawody!$A$6:$F$25,2,FALSE),"")</x:f>
      </x:c>
      <x:c r="C94" s="17" t="str">
        <x:f>IFERROR(VLOOKUP(A94,Zawody!$A$6:$F$25,3,FALSE),"")</x:f>
      </x:c>
      <x:c r="D94" s="18" t="str"/>
      <x:c r="E94" s="17" t="str"/>
      <x:c r="F94" s="17" t="str"/>
      <x:c r="G94" s="25" t="str">
        <x:f>IF(OR(A94="",D94=""),"",IF(AND(D94&gt;=1,D94&lt;=5),6-D94,0))</x:f>
      </x:c>
      <x:c r="H94" s="22" t="str"/>
      <x:c r="I94" s="17" t="str"/>
    </x:row>
    <x:row r="95">
      <x:c r="A95" s="18" t="str"/>
      <x:c r="B95" s="17" t="str">
        <x:f>IFERROR(VLOOKUP(A95,Zawody!$A$6:$F$25,2,FALSE),"")</x:f>
      </x:c>
      <x:c r="C95" s="17" t="str">
        <x:f>IFERROR(VLOOKUP(A95,Zawody!$A$6:$F$25,3,FALSE),"")</x:f>
      </x:c>
      <x:c r="D95" s="18" t="str"/>
      <x:c r="E95" s="17" t="str"/>
      <x:c r="F95" s="17" t="str"/>
      <x:c r="G95" s="25" t="str">
        <x:f>IF(OR(A95="",D95=""),"",IF(AND(D95&gt;=1,D95&lt;=5),6-D95,0))</x:f>
      </x:c>
      <x:c r="H95" s="22" t="str"/>
      <x:c r="I95" s="17" t="str"/>
    </x:row>
    <x:row r="96">
      <x:c r="A96" s="18" t="str"/>
      <x:c r="B96" s="17" t="str">
        <x:f>IFERROR(VLOOKUP(A96,Zawody!$A$6:$F$25,2,FALSE),"")</x:f>
      </x:c>
      <x:c r="C96" s="17" t="str">
        <x:f>IFERROR(VLOOKUP(A96,Zawody!$A$6:$F$25,3,FALSE),"")</x:f>
      </x:c>
      <x:c r="D96" s="18" t="str"/>
      <x:c r="E96" s="17" t="str"/>
      <x:c r="F96" s="17" t="str"/>
      <x:c r="G96" s="25" t="str">
        <x:f>IF(OR(A96="",D96=""),"",IF(AND(D96&gt;=1,D96&lt;=5),6-D96,0))</x:f>
      </x:c>
      <x:c r="H96" s="22" t="str"/>
      <x:c r="I96" s="17" t="str"/>
    </x:row>
    <x:row r="97">
      <x:c r="A97" s="18" t="str"/>
      <x:c r="B97" s="17" t="str">
        <x:f>IFERROR(VLOOKUP(A97,Zawody!$A$6:$F$25,2,FALSE),"")</x:f>
      </x:c>
      <x:c r="C97" s="17" t="str">
        <x:f>IFERROR(VLOOKUP(A97,Zawody!$A$6:$F$25,3,FALSE),"")</x:f>
      </x:c>
      <x:c r="D97" s="18" t="str"/>
      <x:c r="E97" s="17" t="str"/>
      <x:c r="F97" s="17" t="str"/>
      <x:c r="G97" s="25" t="str">
        <x:f>IF(OR(A97="",D97=""),"",IF(AND(D97&gt;=1,D97&lt;=5),6-D97,0))</x:f>
      </x:c>
      <x:c r="H97" s="22" t="str"/>
      <x:c r="I97" s="17" t="str"/>
    </x:row>
    <x:row r="98">
      <x:c r="A98" s="18" t="str"/>
      <x:c r="B98" s="17" t="str">
        <x:f>IFERROR(VLOOKUP(A98,Zawody!$A$6:$F$25,2,FALSE),"")</x:f>
      </x:c>
      <x:c r="C98" s="17" t="str">
        <x:f>IFERROR(VLOOKUP(A98,Zawody!$A$6:$F$25,3,FALSE),"")</x:f>
      </x:c>
      <x:c r="D98" s="18" t="str"/>
      <x:c r="E98" s="17" t="str"/>
      <x:c r="F98" s="17" t="str"/>
      <x:c r="G98" s="25" t="str">
        <x:f>IF(OR(A98="",D98=""),"",IF(AND(D98&gt;=1,D98&lt;=5),6-D98,0))</x:f>
      </x:c>
      <x:c r="H98" s="22" t="str"/>
      <x:c r="I98" s="17" t="str"/>
    </x:row>
    <x:row r="99">
      <x:c r="A99" s="18" t="str"/>
      <x:c r="B99" s="17" t="str">
        <x:f>IFERROR(VLOOKUP(A99,Zawody!$A$6:$F$25,2,FALSE),"")</x:f>
      </x:c>
      <x:c r="C99" s="17" t="str">
        <x:f>IFERROR(VLOOKUP(A99,Zawody!$A$6:$F$25,3,FALSE),"")</x:f>
      </x:c>
      <x:c r="D99" s="18" t="str"/>
      <x:c r="E99" s="17" t="str"/>
      <x:c r="F99" s="17" t="str"/>
      <x:c r="G99" s="25" t="str">
        <x:f>IF(OR(A99="",D99=""),"",IF(AND(D99&gt;=1,D99&lt;=5),6-D99,0))</x:f>
      </x:c>
      <x:c r="H99" s="22" t="str"/>
      <x:c r="I99" s="17" t="str"/>
    </x:row>
    <x:row r="100">
      <x:c r="A100" s="18" t="str"/>
      <x:c r="B100" s="17" t="str">
        <x:f>IFERROR(VLOOKUP(A100,Zawody!$A$6:$F$25,2,FALSE),"")</x:f>
      </x:c>
      <x:c r="C100" s="17" t="str">
        <x:f>IFERROR(VLOOKUP(A100,Zawody!$A$6:$F$25,3,FALSE),"")</x:f>
      </x:c>
      <x:c r="D100" s="18" t="str"/>
      <x:c r="E100" s="17" t="str"/>
      <x:c r="F100" s="17" t="str"/>
      <x:c r="G100" s="25" t="str">
        <x:f>IF(OR(A100="",D100=""),"",IF(AND(D100&gt;=1,D100&lt;=5),6-D100,0))</x:f>
      </x:c>
      <x:c r="H100" s="22" t="str"/>
      <x:c r="I100" s="17" t="str"/>
    </x:row>
    <x:row r="101">
      <x:c r="A101" s="18" t="str"/>
      <x:c r="B101" s="17" t="str">
        <x:f>IFERROR(VLOOKUP(A101,Zawody!$A$6:$F$25,2,FALSE),"")</x:f>
      </x:c>
      <x:c r="C101" s="17" t="str">
        <x:f>IFERROR(VLOOKUP(A101,Zawody!$A$6:$F$25,3,FALSE),"")</x:f>
      </x:c>
      <x:c r="D101" s="18" t="str"/>
      <x:c r="E101" s="17" t="str"/>
      <x:c r="F101" s="17" t="str"/>
      <x:c r="G101" s="25" t="str">
        <x:f>IF(OR(A101="",D101=""),"",IF(AND(D101&gt;=1,D101&lt;=5),6-D101,0))</x:f>
      </x:c>
      <x:c r="H101" s="22" t="str"/>
      <x:c r="I101" s="17" t="str"/>
    </x:row>
    <x:row r="102">
      <x:c r="A102" s="18" t="str"/>
      <x:c r="B102" s="17" t="str">
        <x:f>IFERROR(VLOOKUP(A102,Zawody!$A$6:$F$25,2,FALSE),"")</x:f>
      </x:c>
      <x:c r="C102" s="17" t="str">
        <x:f>IFERROR(VLOOKUP(A102,Zawody!$A$6:$F$25,3,FALSE),"")</x:f>
      </x:c>
      <x:c r="D102" s="18" t="str"/>
      <x:c r="E102" s="17" t="str"/>
      <x:c r="F102" s="17" t="str"/>
      <x:c r="G102" s="25" t="str">
        <x:f>IF(OR(A102="",D102=""),"",IF(AND(D102&gt;=1,D102&lt;=5),6-D102,0))</x:f>
      </x:c>
      <x:c r="H102" s="22" t="str"/>
      <x:c r="I102" s="17" t="str"/>
    </x:row>
    <x:row r="103">
      <x:c r="A103" s="18" t="str"/>
      <x:c r="B103" s="17" t="str">
        <x:f>IFERROR(VLOOKUP(A103,Zawody!$A$6:$F$25,2,FALSE),"")</x:f>
      </x:c>
      <x:c r="C103" s="17" t="str">
        <x:f>IFERROR(VLOOKUP(A103,Zawody!$A$6:$F$25,3,FALSE),"")</x:f>
      </x:c>
      <x:c r="D103" s="18" t="str"/>
      <x:c r="E103" s="17" t="str"/>
      <x:c r="F103" s="17" t="str"/>
      <x:c r="G103" s="25" t="str">
        <x:f>IF(OR(A103="",D103=""),"",IF(AND(D103&gt;=1,D103&lt;=5),6-D103,0))</x:f>
      </x:c>
      <x:c r="H103" s="22" t="str"/>
      <x:c r="I103" s="17" t="str"/>
    </x:row>
    <x:row r="104">
      <x:c r="A104" s="18" t="str"/>
      <x:c r="B104" s="17" t="str">
        <x:f>IFERROR(VLOOKUP(A104,Zawody!$A$6:$F$25,2,FALSE),"")</x:f>
      </x:c>
      <x:c r="C104" s="17" t="str">
        <x:f>IFERROR(VLOOKUP(A104,Zawody!$A$6:$F$25,3,FALSE),"")</x:f>
      </x:c>
      <x:c r="D104" s="18" t="str"/>
      <x:c r="E104" s="17" t="str"/>
      <x:c r="F104" s="17" t="str"/>
      <x:c r="G104" s="25" t="str">
        <x:f>IF(OR(A104="",D104=""),"",IF(AND(D104&gt;=1,D104&lt;=5),6-D104,0))</x:f>
      </x:c>
      <x:c r="H104" s="22" t="str"/>
      <x:c r="I104" s="17" t="str"/>
    </x:row>
    <x:row r="105">
      <x:c r="A105" s="18" t="str"/>
      <x:c r="B105" s="17" t="str">
        <x:f>IFERROR(VLOOKUP(A105,Zawody!$A$6:$F$25,2,FALSE),"")</x:f>
      </x:c>
      <x:c r="C105" s="17" t="str">
        <x:f>IFERROR(VLOOKUP(A105,Zawody!$A$6:$F$25,3,FALSE),"")</x:f>
      </x:c>
      <x:c r="D105" s="18" t="str"/>
      <x:c r="E105" s="17" t="str"/>
      <x:c r="F105" s="17" t="str"/>
      <x:c r="G105" s="25" t="str">
        <x:f>IF(OR(A105="",D105=""),"",IF(AND(D105&gt;=1,D105&lt;=5),6-D105,0))</x:f>
      </x:c>
      <x:c r="H105" s="22" t="str"/>
      <x:c r="I105" s="17" t="str"/>
    </x:row>
    <x:row r="106">
      <x:c r="A106" s="18" t="str"/>
      <x:c r="B106" s="17" t="str">
        <x:f>IFERROR(VLOOKUP(A106,Zawody!$A$6:$F$25,2,FALSE),"")</x:f>
      </x:c>
      <x:c r="C106" s="17" t="str">
        <x:f>IFERROR(VLOOKUP(A106,Zawody!$A$6:$F$25,3,FALSE),"")</x:f>
      </x:c>
      <x:c r="D106" s="18" t="str"/>
      <x:c r="E106" s="17" t="str"/>
      <x:c r="F106" s="17" t="str"/>
      <x:c r="G106" s="25" t="str">
        <x:f>IF(OR(A106="",D106=""),"",IF(AND(D106&gt;=1,D106&lt;=5),6-D106,0))</x:f>
      </x:c>
      <x:c r="H106" s="22" t="str"/>
      <x:c r="I106" s="17" t="str"/>
    </x:row>
    <x:row r="107">
      <x:c r="A107" s="18" t="str"/>
      <x:c r="B107" s="17" t="str">
        <x:f>IFERROR(VLOOKUP(A107,Zawody!$A$6:$F$25,2,FALSE),"")</x:f>
      </x:c>
      <x:c r="C107" s="17" t="str">
        <x:f>IFERROR(VLOOKUP(A107,Zawody!$A$6:$F$25,3,FALSE),"")</x:f>
      </x:c>
      <x:c r="D107" s="18" t="str"/>
      <x:c r="E107" s="17" t="str"/>
      <x:c r="F107" s="17" t="str"/>
      <x:c r="G107" s="25" t="str">
        <x:f>IF(OR(A107="",D107=""),"",IF(AND(D107&gt;=1,D107&lt;=5),6-D107,0))</x:f>
      </x:c>
      <x:c r="H107" s="22" t="str"/>
      <x:c r="I107" s="17" t="str"/>
    </x:row>
    <x:row r="108">
      <x:c r="A108" s="18" t="str"/>
      <x:c r="B108" s="17" t="str">
        <x:f>IFERROR(VLOOKUP(A108,Zawody!$A$6:$F$25,2,FALSE),"")</x:f>
      </x:c>
      <x:c r="C108" s="17" t="str">
        <x:f>IFERROR(VLOOKUP(A108,Zawody!$A$6:$F$25,3,FALSE),"")</x:f>
      </x:c>
      <x:c r="D108" s="18" t="str"/>
      <x:c r="E108" s="17" t="str"/>
      <x:c r="F108" s="17" t="str"/>
      <x:c r="G108" s="25" t="str">
        <x:f>IF(OR(A108="",D108=""),"",IF(AND(D108&gt;=1,D108&lt;=5),6-D108,0))</x:f>
      </x:c>
      <x:c r="H108" s="22" t="str"/>
      <x:c r="I108" s="17" t="str"/>
    </x:row>
    <x:row r="109">
      <x:c r="A109" s="18" t="str"/>
      <x:c r="B109" s="17" t="str">
        <x:f>IFERROR(VLOOKUP(A109,Zawody!$A$6:$F$25,2,FALSE),"")</x:f>
      </x:c>
      <x:c r="C109" s="17" t="str">
        <x:f>IFERROR(VLOOKUP(A109,Zawody!$A$6:$F$25,3,FALSE),"")</x:f>
      </x:c>
      <x:c r="D109" s="18" t="str"/>
      <x:c r="E109" s="17" t="str"/>
      <x:c r="F109" s="17" t="str"/>
      <x:c r="G109" s="25" t="str">
        <x:f>IF(OR(A109="",D109=""),"",IF(AND(D109&gt;=1,D109&lt;=5),6-D109,0))</x:f>
      </x:c>
      <x:c r="H109" s="22" t="str"/>
      <x:c r="I109" s="17" t="str"/>
    </x:row>
    <x:row r="110">
      <x:c r="A110" s="18" t="str"/>
      <x:c r="B110" s="17" t="str">
        <x:f>IFERROR(VLOOKUP(A110,Zawody!$A$6:$F$25,2,FALSE),"")</x:f>
      </x:c>
      <x:c r="C110" s="17" t="str">
        <x:f>IFERROR(VLOOKUP(A110,Zawody!$A$6:$F$25,3,FALSE),"")</x:f>
      </x:c>
      <x:c r="D110" s="18" t="str"/>
      <x:c r="E110" s="17" t="str"/>
      <x:c r="F110" s="17" t="str"/>
      <x:c r="G110" s="25" t="str">
        <x:f>IF(OR(A110="",D110=""),"",IF(AND(D110&gt;=1,D110&lt;=5),6-D110,0))</x:f>
      </x:c>
      <x:c r="H110" s="22" t="str"/>
      <x:c r="I110" s="17" t="str"/>
    </x:row>
    <x:row r="111">
      <x:c r="A111" s="18" t="str"/>
      <x:c r="B111" s="17" t="str">
        <x:f>IFERROR(VLOOKUP(A111,Zawody!$A$6:$F$25,2,FALSE),"")</x:f>
      </x:c>
      <x:c r="C111" s="17" t="str">
        <x:f>IFERROR(VLOOKUP(A111,Zawody!$A$6:$F$25,3,FALSE),"")</x:f>
      </x:c>
      <x:c r="D111" s="18" t="str"/>
      <x:c r="E111" s="17" t="str"/>
      <x:c r="F111" s="17" t="str"/>
      <x:c r="G111" s="25" t="str">
        <x:f>IF(OR(A111="",D111=""),"",IF(AND(D111&gt;=1,D111&lt;=5),6-D111,0))</x:f>
      </x:c>
      <x:c r="H111" s="22" t="str"/>
      <x:c r="I111" s="17" t="str"/>
    </x:row>
    <x:row r="112">
      <x:c r="A112" s="18" t="str"/>
      <x:c r="B112" s="17" t="str">
        <x:f>IFERROR(VLOOKUP(A112,Zawody!$A$6:$F$25,2,FALSE),"")</x:f>
      </x:c>
      <x:c r="C112" s="17" t="str">
        <x:f>IFERROR(VLOOKUP(A112,Zawody!$A$6:$F$25,3,FALSE),"")</x:f>
      </x:c>
      <x:c r="D112" s="18" t="str"/>
      <x:c r="E112" s="17" t="str"/>
      <x:c r="F112" s="17" t="str"/>
      <x:c r="G112" s="25" t="str">
        <x:f>IF(OR(A112="",D112=""),"",IF(AND(D112&gt;=1,D112&lt;=5),6-D112,0))</x:f>
      </x:c>
      <x:c r="H112" s="22" t="str"/>
      <x:c r="I112" s="17" t="str"/>
    </x:row>
    <x:row r="113">
      <x:c r="A113" s="18" t="str"/>
      <x:c r="B113" s="17" t="str">
        <x:f>IFERROR(VLOOKUP(A113,Zawody!$A$6:$F$25,2,FALSE),"")</x:f>
      </x:c>
      <x:c r="C113" s="17" t="str">
        <x:f>IFERROR(VLOOKUP(A113,Zawody!$A$6:$F$25,3,FALSE),"")</x:f>
      </x:c>
      <x:c r="D113" s="18" t="str"/>
      <x:c r="E113" s="17" t="str"/>
      <x:c r="F113" s="17" t="str"/>
      <x:c r="G113" s="25" t="str">
        <x:f>IF(OR(A113="",D113=""),"",IF(AND(D113&gt;=1,D113&lt;=5),6-D113,0))</x:f>
      </x:c>
      <x:c r="H113" s="22" t="str"/>
      <x:c r="I113" s="17" t="str"/>
    </x:row>
    <x:row r="114">
      <x:c r="A114" s="18" t="str"/>
      <x:c r="B114" s="17" t="str">
        <x:f>IFERROR(VLOOKUP(A114,Zawody!$A$6:$F$25,2,FALSE),"")</x:f>
      </x:c>
      <x:c r="C114" s="17" t="str">
        <x:f>IFERROR(VLOOKUP(A114,Zawody!$A$6:$F$25,3,FALSE),"")</x:f>
      </x:c>
      <x:c r="D114" s="18" t="str"/>
      <x:c r="E114" s="17" t="str"/>
      <x:c r="F114" s="17" t="str"/>
      <x:c r="G114" s="25" t="str">
        <x:f>IF(OR(A114="",D114=""),"",IF(AND(D114&gt;=1,D114&lt;=5),6-D114,0))</x:f>
      </x:c>
      <x:c r="H114" s="22" t="str"/>
      <x:c r="I114" s="17" t="str"/>
    </x:row>
    <x:row r="115">
      <x:c r="A115" s="18" t="str"/>
      <x:c r="B115" s="17" t="str">
        <x:f>IFERROR(VLOOKUP(A115,Zawody!$A$6:$F$25,2,FALSE),"")</x:f>
      </x:c>
      <x:c r="C115" s="17" t="str">
        <x:f>IFERROR(VLOOKUP(A115,Zawody!$A$6:$F$25,3,FALSE),"")</x:f>
      </x:c>
      <x:c r="D115" s="18" t="str"/>
      <x:c r="E115" s="17" t="str"/>
      <x:c r="F115" s="17" t="str"/>
      <x:c r="G115" s="25" t="str">
        <x:f>IF(OR(A115="",D115=""),"",IF(AND(D115&gt;=1,D115&lt;=5),6-D115,0))</x:f>
      </x:c>
      <x:c r="H115" s="22" t="str"/>
      <x:c r="I115" s="17" t="str"/>
    </x:row>
    <x:row r="116">
      <x:c r="A116" s="18" t="str"/>
      <x:c r="B116" s="17" t="str">
        <x:f>IFERROR(VLOOKUP(A116,Zawody!$A$6:$F$25,2,FALSE),"")</x:f>
      </x:c>
      <x:c r="C116" s="17" t="str">
        <x:f>IFERROR(VLOOKUP(A116,Zawody!$A$6:$F$25,3,FALSE),"")</x:f>
      </x:c>
      <x:c r="D116" s="18" t="str"/>
      <x:c r="E116" s="17" t="str"/>
      <x:c r="F116" s="17" t="str"/>
      <x:c r="G116" s="25" t="str">
        <x:f>IF(OR(A116="",D116=""),"",IF(AND(D116&gt;=1,D116&lt;=5),6-D116,0))</x:f>
      </x:c>
      <x:c r="H116" s="22" t="str"/>
      <x:c r="I116" s="17" t="str"/>
    </x:row>
    <x:row r="117">
      <x:c r="A117" s="18" t="str"/>
      <x:c r="B117" s="17" t="str">
        <x:f>IFERROR(VLOOKUP(A117,Zawody!$A$6:$F$25,2,FALSE),"")</x:f>
      </x:c>
      <x:c r="C117" s="17" t="str">
        <x:f>IFERROR(VLOOKUP(A117,Zawody!$A$6:$F$25,3,FALSE),"")</x:f>
      </x:c>
      <x:c r="D117" s="18" t="str"/>
      <x:c r="E117" s="17" t="str"/>
      <x:c r="F117" s="17" t="str"/>
      <x:c r="G117" s="25" t="str">
        <x:f>IF(OR(A117="",D117=""),"",IF(AND(D117&gt;=1,D117&lt;=5),6-D117,0))</x:f>
      </x:c>
      <x:c r="H117" s="22" t="str"/>
      <x:c r="I117" s="17" t="str"/>
    </x:row>
    <x:row r="118">
      <x:c r="A118" s="18" t="str"/>
      <x:c r="B118" s="17" t="str">
        <x:f>IFERROR(VLOOKUP(A118,Zawody!$A$6:$F$25,2,FALSE),"")</x:f>
      </x:c>
      <x:c r="C118" s="17" t="str">
        <x:f>IFERROR(VLOOKUP(A118,Zawody!$A$6:$F$25,3,FALSE),"")</x:f>
      </x:c>
      <x:c r="D118" s="18" t="str"/>
      <x:c r="E118" s="17" t="str"/>
      <x:c r="F118" s="17" t="str"/>
      <x:c r="G118" s="25" t="str">
        <x:f>IF(OR(A118="",D118=""),"",IF(AND(D118&gt;=1,D118&lt;=5),6-D118,0))</x:f>
      </x:c>
      <x:c r="H118" s="22" t="str"/>
      <x:c r="I118" s="17" t="str"/>
    </x:row>
    <x:row r="119">
      <x:c r="A119" s="18" t="str"/>
      <x:c r="B119" s="17" t="str">
        <x:f>IFERROR(VLOOKUP(A119,Zawody!$A$6:$F$25,2,FALSE),"")</x:f>
      </x:c>
      <x:c r="C119" s="17" t="str">
        <x:f>IFERROR(VLOOKUP(A119,Zawody!$A$6:$F$25,3,FALSE),"")</x:f>
      </x:c>
      <x:c r="D119" s="18" t="str"/>
      <x:c r="E119" s="17" t="str"/>
      <x:c r="F119" s="17" t="str"/>
      <x:c r="G119" s="25" t="str">
        <x:f>IF(OR(A119="",D119=""),"",IF(AND(D119&gt;=1,D119&lt;=5),6-D119,0))</x:f>
      </x:c>
      <x:c r="H119" s="22" t="str"/>
      <x:c r="I119" s="17" t="str"/>
    </x:row>
    <x:row r="120">
      <x:c r="A120" s="18" t="str"/>
      <x:c r="B120" s="17" t="str">
        <x:f>IFERROR(VLOOKUP(A120,Zawody!$A$6:$F$25,2,FALSE),"")</x:f>
      </x:c>
      <x:c r="C120" s="17" t="str">
        <x:f>IFERROR(VLOOKUP(A120,Zawody!$A$6:$F$25,3,FALSE),"")</x:f>
      </x:c>
      <x:c r="D120" s="18" t="str"/>
      <x:c r="E120" s="17" t="str"/>
      <x:c r="F120" s="17" t="str"/>
      <x:c r="G120" s="25" t="str">
        <x:f>IF(OR(A120="",D120=""),"",IF(AND(D120&gt;=1,D120&lt;=5),6-D120,0))</x:f>
      </x:c>
      <x:c r="H120" s="22" t="str"/>
      <x:c r="I120" s="17" t="str"/>
    </x:row>
    <x:row r="121">
      <x:c r="A121" s="18" t="str"/>
      <x:c r="B121" s="17" t="str">
        <x:f>IFERROR(VLOOKUP(A121,Zawody!$A$6:$F$25,2,FALSE),"")</x:f>
      </x:c>
      <x:c r="C121" s="17" t="str">
        <x:f>IFERROR(VLOOKUP(A121,Zawody!$A$6:$F$25,3,FALSE),"")</x:f>
      </x:c>
      <x:c r="D121" s="18" t="str"/>
      <x:c r="E121" s="17" t="str"/>
      <x:c r="F121" s="17" t="str"/>
      <x:c r="G121" s="25" t="str">
        <x:f>IF(OR(A121="",D121=""),"",IF(AND(D121&gt;=1,D121&lt;=5),6-D121,0))</x:f>
      </x:c>
      <x:c r="H121" s="22" t="str"/>
      <x:c r="I121" s="17" t="str"/>
    </x:row>
    <x:row r="122">
      <x:c r="A122" s="18" t="str"/>
      <x:c r="B122" s="17" t="str">
        <x:f>IFERROR(VLOOKUP(A122,Zawody!$A$6:$F$25,2,FALSE),"")</x:f>
      </x:c>
      <x:c r="C122" s="17" t="str">
        <x:f>IFERROR(VLOOKUP(A122,Zawody!$A$6:$F$25,3,FALSE),"")</x:f>
      </x:c>
      <x:c r="D122" s="18" t="str"/>
      <x:c r="E122" s="17" t="str"/>
      <x:c r="F122" s="17" t="str"/>
      <x:c r="G122" s="25" t="str">
        <x:f>IF(OR(A122="",D122=""),"",IF(AND(D122&gt;=1,D122&lt;=5),6-D122,0))</x:f>
      </x:c>
      <x:c r="H122" s="22" t="str"/>
      <x:c r="I122" s="17" t="str"/>
    </x:row>
    <x:row r="123">
      <x:c r="A123" s="18" t="str"/>
      <x:c r="B123" s="17" t="str">
        <x:f>IFERROR(VLOOKUP(A123,Zawody!$A$6:$F$25,2,FALSE),"")</x:f>
      </x:c>
      <x:c r="C123" s="17" t="str">
        <x:f>IFERROR(VLOOKUP(A123,Zawody!$A$6:$F$25,3,FALSE),"")</x:f>
      </x:c>
      <x:c r="D123" s="18" t="str"/>
      <x:c r="E123" s="17" t="str"/>
      <x:c r="F123" s="17" t="str"/>
      <x:c r="G123" s="25" t="str">
        <x:f>IF(OR(A123="",D123=""),"",IF(AND(D123&gt;=1,D123&lt;=5),6-D123,0))</x:f>
      </x:c>
      <x:c r="H123" s="22" t="str"/>
      <x:c r="I123" s="17" t="str"/>
    </x:row>
    <x:row r="124">
      <x:c r="A124" s="18" t="str"/>
      <x:c r="B124" s="17" t="str">
        <x:f>IFERROR(VLOOKUP(A124,Zawody!$A$6:$F$25,2,FALSE),"")</x:f>
      </x:c>
      <x:c r="C124" s="17" t="str">
        <x:f>IFERROR(VLOOKUP(A124,Zawody!$A$6:$F$25,3,FALSE),"")</x:f>
      </x:c>
      <x:c r="D124" s="18" t="str"/>
      <x:c r="E124" s="17" t="str"/>
      <x:c r="F124" s="17" t="str"/>
      <x:c r="G124" s="25" t="str">
        <x:f>IF(OR(A124="",D124=""),"",IF(AND(D124&gt;=1,D124&lt;=5),6-D124,0))</x:f>
      </x:c>
      <x:c r="H124" s="22" t="str"/>
      <x:c r="I124" s="17" t="str"/>
    </x:row>
    <x:row r="125">
      <x:c r="A125" s="18" t="str"/>
      <x:c r="B125" s="17" t="str">
        <x:f>IFERROR(VLOOKUP(A125,Zawody!$A$6:$F$25,2,FALSE),"")</x:f>
      </x:c>
      <x:c r="C125" s="17" t="str">
        <x:f>IFERROR(VLOOKUP(A125,Zawody!$A$6:$F$25,3,FALSE),"")</x:f>
      </x:c>
      <x:c r="D125" s="18" t="str"/>
      <x:c r="E125" s="17" t="str"/>
      <x:c r="F125" s="17" t="str"/>
      <x:c r="G125" s="25" t="str">
        <x:f>IF(OR(A125="",D125=""),"",IF(AND(D125&gt;=1,D125&lt;=5),6-D125,0))</x:f>
      </x:c>
      <x:c r="H125" s="22" t="str"/>
      <x:c r="I125" s="17" t="str"/>
    </x:row>
    <x:row r="126">
      <x:c r="A126" s="18" t="str"/>
      <x:c r="B126" s="17" t="str">
        <x:f>IFERROR(VLOOKUP(A126,Zawody!$A$6:$F$25,2,FALSE),"")</x:f>
      </x:c>
      <x:c r="C126" s="17" t="str">
        <x:f>IFERROR(VLOOKUP(A126,Zawody!$A$6:$F$25,3,FALSE),"")</x:f>
      </x:c>
      <x:c r="D126" s="18" t="str"/>
      <x:c r="E126" s="17" t="str"/>
      <x:c r="F126" s="17" t="str"/>
      <x:c r="G126" s="25" t="str">
        <x:f>IF(OR(A126="",D126=""),"",IF(AND(D126&gt;=1,D126&lt;=5),6-D126,0))</x:f>
      </x:c>
      <x:c r="H126" s="22" t="str"/>
      <x:c r="I126" s="17" t="str"/>
    </x:row>
    <x:row r="127">
      <x:c r="A127" s="18" t="str"/>
      <x:c r="B127" s="17" t="str">
        <x:f>IFERROR(VLOOKUP(A127,Zawody!$A$6:$F$25,2,FALSE),"")</x:f>
      </x:c>
      <x:c r="C127" s="17" t="str">
        <x:f>IFERROR(VLOOKUP(A127,Zawody!$A$6:$F$25,3,FALSE),"")</x:f>
      </x:c>
      <x:c r="D127" s="18" t="str"/>
      <x:c r="E127" s="17" t="str"/>
      <x:c r="F127" s="17" t="str"/>
      <x:c r="G127" s="25" t="str">
        <x:f>IF(OR(A127="",D127=""),"",IF(AND(D127&gt;=1,D127&lt;=5),6-D127,0))</x:f>
      </x:c>
      <x:c r="H127" s="22" t="str"/>
      <x:c r="I127" s="17" t="str"/>
    </x:row>
    <x:row r="128">
      <x:c r="A128" s="18" t="str"/>
      <x:c r="B128" s="17" t="str">
        <x:f>IFERROR(VLOOKUP(A128,Zawody!$A$6:$F$25,2,FALSE),"")</x:f>
      </x:c>
      <x:c r="C128" s="17" t="str">
        <x:f>IFERROR(VLOOKUP(A128,Zawody!$A$6:$F$25,3,FALSE),"")</x:f>
      </x:c>
      <x:c r="D128" s="18" t="str"/>
      <x:c r="E128" s="17" t="str"/>
      <x:c r="F128" s="17" t="str"/>
      <x:c r="G128" s="25" t="str">
        <x:f>IF(OR(A128="",D128=""),"",IF(AND(D128&gt;=1,D128&lt;=5),6-D128,0))</x:f>
      </x:c>
      <x:c r="H128" s="22" t="str"/>
      <x:c r="I128" s="17" t="str"/>
    </x:row>
    <x:row r="129">
      <x:c r="A129" s="18" t="str"/>
      <x:c r="B129" s="17" t="str">
        <x:f>IFERROR(VLOOKUP(A129,Zawody!$A$6:$F$25,2,FALSE),"")</x:f>
      </x:c>
      <x:c r="C129" s="17" t="str">
        <x:f>IFERROR(VLOOKUP(A129,Zawody!$A$6:$F$25,3,FALSE),"")</x:f>
      </x:c>
      <x:c r="D129" s="18" t="str"/>
      <x:c r="E129" s="17" t="str"/>
      <x:c r="F129" s="17" t="str"/>
      <x:c r="G129" s="25" t="str">
        <x:f>IF(OR(A129="",D129=""),"",IF(AND(D129&gt;=1,D129&lt;=5),6-D129,0))</x:f>
      </x:c>
      <x:c r="H129" s="22" t="str"/>
      <x:c r="I129" s="17" t="str"/>
    </x:row>
    <x:row r="130">
      <x:c r="A130" s="18" t="str"/>
      <x:c r="B130" s="17" t="str">
        <x:f>IFERROR(VLOOKUP(A130,Zawody!$A$6:$F$25,2,FALSE),"")</x:f>
      </x:c>
      <x:c r="C130" s="17" t="str">
        <x:f>IFERROR(VLOOKUP(A130,Zawody!$A$6:$F$25,3,FALSE),"")</x:f>
      </x:c>
      <x:c r="D130" s="18" t="str"/>
      <x:c r="E130" s="17" t="str"/>
      <x:c r="F130" s="17" t="str"/>
      <x:c r="G130" s="25" t="str">
        <x:f>IF(OR(A130="",D130=""),"",IF(AND(D130&gt;=1,D130&lt;=5),6-D130,0))</x:f>
      </x:c>
      <x:c r="H130" s="22" t="str"/>
      <x:c r="I130" s="17" t="str"/>
    </x:row>
    <x:row r="131">
      <x:c r="A131" s="18" t="str"/>
      <x:c r="B131" s="17" t="str">
        <x:f>IFERROR(VLOOKUP(A131,Zawody!$A$6:$F$25,2,FALSE),"")</x:f>
      </x:c>
      <x:c r="C131" s="17" t="str">
        <x:f>IFERROR(VLOOKUP(A131,Zawody!$A$6:$F$25,3,FALSE),"")</x:f>
      </x:c>
      <x:c r="D131" s="18" t="str"/>
      <x:c r="E131" s="17" t="str"/>
      <x:c r="F131" s="17" t="str"/>
      <x:c r="G131" s="25" t="str">
        <x:f>IF(OR(A131="",D131=""),"",IF(AND(D131&gt;=1,D131&lt;=5),6-D131,0))</x:f>
      </x:c>
      <x:c r="H131" s="22" t="str"/>
      <x:c r="I131" s="17" t="str"/>
    </x:row>
    <x:row r="132">
      <x:c r="A132" s="18" t="str"/>
      <x:c r="B132" s="17" t="str">
        <x:f>IFERROR(VLOOKUP(A132,Zawody!$A$6:$F$25,2,FALSE),"")</x:f>
      </x:c>
      <x:c r="C132" s="17" t="str">
        <x:f>IFERROR(VLOOKUP(A132,Zawody!$A$6:$F$25,3,FALSE),"")</x:f>
      </x:c>
      <x:c r="D132" s="18" t="str"/>
      <x:c r="E132" s="17" t="str"/>
      <x:c r="F132" s="17" t="str"/>
      <x:c r="G132" s="25" t="str">
        <x:f>IF(OR(A132="",D132=""),"",IF(AND(D132&gt;=1,D132&lt;=5),6-D132,0))</x:f>
      </x:c>
      <x:c r="H132" s="22" t="str"/>
      <x:c r="I132" s="17" t="str"/>
    </x:row>
    <x:row r="133">
      <x:c r="A133" s="18" t="str"/>
      <x:c r="B133" s="17" t="str">
        <x:f>IFERROR(VLOOKUP(A133,Zawody!$A$6:$F$25,2,FALSE),"")</x:f>
      </x:c>
      <x:c r="C133" s="17" t="str">
        <x:f>IFERROR(VLOOKUP(A133,Zawody!$A$6:$F$25,3,FALSE),"")</x:f>
      </x:c>
      <x:c r="D133" s="18" t="str"/>
      <x:c r="E133" s="17" t="str"/>
      <x:c r="F133" s="17" t="str"/>
      <x:c r="G133" s="25" t="str">
        <x:f>IF(OR(A133="",D133=""),"",IF(AND(D133&gt;=1,D133&lt;=5),6-D133,0))</x:f>
      </x:c>
      <x:c r="H133" s="22" t="str"/>
      <x:c r="I133" s="17" t="str"/>
    </x:row>
    <x:row r="134">
      <x:c r="A134" s="18" t="str"/>
      <x:c r="B134" s="17" t="str">
        <x:f>IFERROR(VLOOKUP(A134,Zawody!$A$6:$F$25,2,FALSE),"")</x:f>
      </x:c>
      <x:c r="C134" s="17" t="str">
        <x:f>IFERROR(VLOOKUP(A134,Zawody!$A$6:$F$25,3,FALSE),"")</x:f>
      </x:c>
      <x:c r="D134" s="18" t="str"/>
      <x:c r="E134" s="17" t="str"/>
      <x:c r="F134" s="17" t="str"/>
      <x:c r="G134" s="25" t="str">
        <x:f>IF(OR(A134="",D134=""),"",IF(AND(D134&gt;=1,D134&lt;=5),6-D134,0))</x:f>
      </x:c>
      <x:c r="H134" s="22" t="str"/>
      <x:c r="I134" s="17" t="str"/>
    </x:row>
    <x:row r="135">
      <x:c r="A135" s="18" t="str"/>
      <x:c r="B135" s="17" t="str">
        <x:f>IFERROR(VLOOKUP(A135,Zawody!$A$6:$F$25,2,FALSE),"")</x:f>
      </x:c>
      <x:c r="C135" s="17" t="str">
        <x:f>IFERROR(VLOOKUP(A135,Zawody!$A$6:$F$25,3,FALSE),"")</x:f>
      </x:c>
      <x:c r="D135" s="18" t="str"/>
      <x:c r="E135" s="17" t="str"/>
      <x:c r="F135" s="17" t="str"/>
      <x:c r="G135" s="25" t="str">
        <x:f>IF(OR(A135="",D135=""),"",IF(AND(D135&gt;=1,D135&lt;=5),6-D135,0))</x:f>
      </x:c>
      <x:c r="H135" s="22" t="str"/>
      <x:c r="I135" s="17" t="str"/>
    </x:row>
    <x:row r="136">
      <x:c r="A136" s="18" t="str"/>
      <x:c r="B136" s="17" t="str">
        <x:f>IFERROR(VLOOKUP(A136,Zawody!$A$6:$F$25,2,FALSE),"")</x:f>
      </x:c>
      <x:c r="C136" s="17" t="str">
        <x:f>IFERROR(VLOOKUP(A136,Zawody!$A$6:$F$25,3,FALSE),"")</x:f>
      </x:c>
      <x:c r="D136" s="18" t="str"/>
      <x:c r="E136" s="17" t="str"/>
      <x:c r="F136" s="17" t="str"/>
      <x:c r="G136" s="25" t="str">
        <x:f>IF(OR(A136="",D136=""),"",IF(AND(D136&gt;=1,D136&lt;=5),6-D136,0))</x:f>
      </x:c>
      <x:c r="H136" s="22" t="str"/>
      <x:c r="I136" s="17" t="str"/>
    </x:row>
    <x:row r="137">
      <x:c r="A137" s="18" t="str"/>
      <x:c r="B137" s="17" t="str">
        <x:f>IFERROR(VLOOKUP(A137,Zawody!$A$6:$F$25,2,FALSE),"")</x:f>
      </x:c>
      <x:c r="C137" s="17" t="str">
        <x:f>IFERROR(VLOOKUP(A137,Zawody!$A$6:$F$25,3,FALSE),"")</x:f>
      </x:c>
      <x:c r="D137" s="18" t="str"/>
      <x:c r="E137" s="17" t="str"/>
      <x:c r="F137" s="17" t="str"/>
      <x:c r="G137" s="25" t="str">
        <x:f>IF(OR(A137="",D137=""),"",IF(AND(D137&gt;=1,D137&lt;=5),6-D137,0))</x:f>
      </x:c>
      <x:c r="H137" s="22" t="str"/>
      <x:c r="I137" s="17" t="str"/>
    </x:row>
    <x:row r="138">
      <x:c r="A138" s="18" t="str"/>
      <x:c r="B138" s="17" t="str">
        <x:f>IFERROR(VLOOKUP(A138,Zawody!$A$6:$F$25,2,FALSE),"")</x:f>
      </x:c>
      <x:c r="C138" s="17" t="str">
        <x:f>IFERROR(VLOOKUP(A138,Zawody!$A$6:$F$25,3,FALSE),"")</x:f>
      </x:c>
      <x:c r="D138" s="18" t="str"/>
      <x:c r="E138" s="17" t="str"/>
      <x:c r="F138" s="17" t="str"/>
      <x:c r="G138" s="25" t="str">
        <x:f>IF(OR(A138="",D138=""),"",IF(AND(D138&gt;=1,D138&lt;=5),6-D138,0))</x:f>
      </x:c>
      <x:c r="H138" s="22" t="str"/>
      <x:c r="I138" s="17" t="str"/>
    </x:row>
    <x:row r="139">
      <x:c r="A139" s="18" t="str"/>
      <x:c r="B139" s="17" t="str">
        <x:f>IFERROR(VLOOKUP(A139,Zawody!$A$6:$F$25,2,FALSE),"")</x:f>
      </x:c>
      <x:c r="C139" s="17" t="str">
        <x:f>IFERROR(VLOOKUP(A139,Zawody!$A$6:$F$25,3,FALSE),"")</x:f>
      </x:c>
      <x:c r="D139" s="18" t="str"/>
      <x:c r="E139" s="17" t="str"/>
      <x:c r="F139" s="17" t="str"/>
      <x:c r="G139" s="25" t="str">
        <x:f>IF(OR(A139="",D139=""),"",IF(AND(D139&gt;=1,D139&lt;=5),6-D139,0))</x:f>
      </x:c>
      <x:c r="H139" s="22" t="str"/>
      <x:c r="I139" s="17" t="str"/>
    </x:row>
    <x:row r="140">
      <x:c r="A140" s="18" t="str"/>
      <x:c r="B140" s="17" t="str">
        <x:f>IFERROR(VLOOKUP(A140,Zawody!$A$6:$F$25,2,FALSE),"")</x:f>
      </x:c>
      <x:c r="C140" s="17" t="str">
        <x:f>IFERROR(VLOOKUP(A140,Zawody!$A$6:$F$25,3,FALSE),"")</x:f>
      </x:c>
      <x:c r="D140" s="18" t="str"/>
      <x:c r="E140" s="17" t="str"/>
      <x:c r="F140" s="17" t="str"/>
      <x:c r="G140" s="25" t="str">
        <x:f>IF(OR(A140="",D140=""),"",IF(AND(D140&gt;=1,D140&lt;=5),6-D140,0))</x:f>
      </x:c>
      <x:c r="H140" s="22" t="str"/>
      <x:c r="I140" s="17" t="str"/>
    </x:row>
    <x:row r="141">
      <x:c r="A141" s="18" t="str"/>
      <x:c r="B141" s="17" t="str">
        <x:f>IFERROR(VLOOKUP(A141,Zawody!$A$6:$F$25,2,FALSE),"")</x:f>
      </x:c>
      <x:c r="C141" s="17" t="str">
        <x:f>IFERROR(VLOOKUP(A141,Zawody!$A$6:$F$25,3,FALSE),"")</x:f>
      </x:c>
      <x:c r="D141" s="18" t="str"/>
      <x:c r="E141" s="17" t="str"/>
      <x:c r="F141" s="17" t="str"/>
      <x:c r="G141" s="25" t="str">
        <x:f>IF(OR(A141="",D141=""),"",IF(AND(D141&gt;=1,D141&lt;=5),6-D141,0))</x:f>
      </x:c>
      <x:c r="H141" s="22" t="str"/>
      <x:c r="I141" s="17" t="str"/>
    </x:row>
    <x:row r="142">
      <x:c r="A142" s="18" t="str"/>
      <x:c r="B142" s="17" t="str">
        <x:f>IFERROR(VLOOKUP(A142,Zawody!$A$6:$F$25,2,FALSE),"")</x:f>
      </x:c>
      <x:c r="C142" s="17" t="str">
        <x:f>IFERROR(VLOOKUP(A142,Zawody!$A$6:$F$25,3,FALSE),"")</x:f>
      </x:c>
      <x:c r="D142" s="18" t="str"/>
      <x:c r="E142" s="17" t="str"/>
      <x:c r="F142" s="17" t="str"/>
      <x:c r="G142" s="25" t="str">
        <x:f>IF(OR(A142="",D142=""),"",IF(AND(D142&gt;=1,D142&lt;=5),6-D142,0))</x:f>
      </x:c>
      <x:c r="H142" s="22" t="str"/>
      <x:c r="I142" s="17" t="str"/>
    </x:row>
    <x:row r="143">
      <x:c r="A143" s="18" t="str"/>
      <x:c r="B143" s="17" t="str">
        <x:f>IFERROR(VLOOKUP(A143,Zawody!$A$6:$F$25,2,FALSE),"")</x:f>
      </x:c>
      <x:c r="C143" s="17" t="str">
        <x:f>IFERROR(VLOOKUP(A143,Zawody!$A$6:$F$25,3,FALSE),"")</x:f>
      </x:c>
      <x:c r="D143" s="18" t="str"/>
      <x:c r="E143" s="17" t="str"/>
      <x:c r="F143" s="17" t="str"/>
      <x:c r="G143" s="25" t="str">
        <x:f>IF(OR(A143="",D143=""),"",IF(AND(D143&gt;=1,D143&lt;=5),6-D143,0))</x:f>
      </x:c>
      <x:c r="H143" s="22" t="str"/>
      <x:c r="I143" s="17" t="str"/>
    </x:row>
    <x:row r="144">
      <x:c r="A144" s="18" t="str"/>
      <x:c r="B144" s="17" t="str">
        <x:f>IFERROR(VLOOKUP(A144,Zawody!$A$6:$F$25,2,FALSE),"")</x:f>
      </x:c>
      <x:c r="C144" s="17" t="str">
        <x:f>IFERROR(VLOOKUP(A144,Zawody!$A$6:$F$25,3,FALSE),"")</x:f>
      </x:c>
      <x:c r="D144" s="18" t="str"/>
      <x:c r="E144" s="17" t="str"/>
      <x:c r="F144" s="17" t="str"/>
      <x:c r="G144" s="25" t="str">
        <x:f>IF(OR(A144="",D144=""),"",IF(AND(D144&gt;=1,D144&lt;=5),6-D144,0))</x:f>
      </x:c>
      <x:c r="H144" s="22" t="str"/>
      <x:c r="I144" s="17" t="str"/>
    </x:row>
    <x:row r="145">
      <x:c r="A145" s="18" t="str"/>
      <x:c r="B145" s="17" t="str">
        <x:f>IFERROR(VLOOKUP(A145,Zawody!$A$6:$F$25,2,FALSE),"")</x:f>
      </x:c>
      <x:c r="C145" s="17" t="str">
        <x:f>IFERROR(VLOOKUP(A145,Zawody!$A$6:$F$25,3,FALSE),"")</x:f>
      </x:c>
      <x:c r="D145" s="18" t="str"/>
      <x:c r="E145" s="17" t="str"/>
      <x:c r="F145" s="17" t="str"/>
      <x:c r="G145" s="25" t="str">
        <x:f>IF(OR(A145="",D145=""),"",IF(AND(D145&gt;=1,D145&lt;=5),6-D145,0))</x:f>
      </x:c>
      <x:c r="H145" s="22" t="str"/>
      <x:c r="I145" s="17" t="str"/>
    </x:row>
    <x:row r="146">
      <x:c r="A146" s="18" t="str"/>
      <x:c r="B146" s="17" t="str">
        <x:f>IFERROR(VLOOKUP(A146,Zawody!$A$6:$F$25,2,FALSE),"")</x:f>
      </x:c>
      <x:c r="C146" s="17" t="str">
        <x:f>IFERROR(VLOOKUP(A146,Zawody!$A$6:$F$25,3,FALSE),"")</x:f>
      </x:c>
      <x:c r="D146" s="18" t="str"/>
      <x:c r="E146" s="17" t="str"/>
      <x:c r="F146" s="17" t="str"/>
      <x:c r="G146" s="25" t="str">
        <x:f>IF(OR(A146="",D146=""),"",IF(AND(D146&gt;=1,D146&lt;=5),6-D146,0))</x:f>
      </x:c>
      <x:c r="H146" s="22" t="str"/>
      <x:c r="I146" s="17" t="str"/>
    </x:row>
    <x:row r="147">
      <x:c r="A147" s="18" t="str"/>
      <x:c r="B147" s="17" t="str">
        <x:f>IFERROR(VLOOKUP(A147,Zawody!$A$6:$F$25,2,FALSE),"")</x:f>
      </x:c>
      <x:c r="C147" s="17" t="str">
        <x:f>IFERROR(VLOOKUP(A147,Zawody!$A$6:$F$25,3,FALSE),"")</x:f>
      </x:c>
      <x:c r="D147" s="18" t="str"/>
      <x:c r="E147" s="17" t="str"/>
      <x:c r="F147" s="17" t="str"/>
      <x:c r="G147" s="25" t="str">
        <x:f>IF(OR(A147="",D147=""),"",IF(AND(D147&gt;=1,D147&lt;=5),6-D147,0))</x:f>
      </x:c>
      <x:c r="H147" s="22" t="str"/>
      <x:c r="I147" s="17" t="str"/>
    </x:row>
    <x:row r="148">
      <x:c r="A148" s="18" t="str"/>
      <x:c r="B148" s="17" t="str">
        <x:f>IFERROR(VLOOKUP(A148,Zawody!$A$6:$F$25,2,FALSE),"")</x:f>
      </x:c>
      <x:c r="C148" s="17" t="str">
        <x:f>IFERROR(VLOOKUP(A148,Zawody!$A$6:$F$25,3,FALSE),"")</x:f>
      </x:c>
      <x:c r="D148" s="18" t="str"/>
      <x:c r="E148" s="17" t="str"/>
      <x:c r="F148" s="17" t="str"/>
      <x:c r="G148" s="25" t="str">
        <x:f>IF(OR(A148="",D148=""),"",IF(AND(D148&gt;=1,D148&lt;=5),6-D148,0))</x:f>
      </x:c>
      <x:c r="H148" s="22" t="str"/>
      <x:c r="I148" s="17" t="str"/>
    </x:row>
    <x:row r="149">
      <x:c r="A149" s="18" t="str"/>
      <x:c r="B149" s="17" t="str">
        <x:f>IFERROR(VLOOKUP(A149,Zawody!$A$6:$F$25,2,FALSE),"")</x:f>
      </x:c>
      <x:c r="C149" s="17" t="str">
        <x:f>IFERROR(VLOOKUP(A149,Zawody!$A$6:$F$25,3,FALSE),"")</x:f>
      </x:c>
      <x:c r="D149" s="18" t="str"/>
      <x:c r="E149" s="17" t="str"/>
      <x:c r="F149" s="17" t="str"/>
      <x:c r="G149" s="25" t="str">
        <x:f>IF(OR(A149="",D149=""),"",IF(AND(D149&gt;=1,D149&lt;=5),6-D149,0))</x:f>
      </x:c>
      <x:c r="H149" s="22" t="str"/>
      <x:c r="I149" s="17" t="str"/>
    </x:row>
    <x:row r="150">
      <x:c r="A150" s="18" t="str"/>
      <x:c r="B150" s="17" t="str">
        <x:f>IFERROR(VLOOKUP(A150,Zawody!$A$6:$F$25,2,FALSE),"")</x:f>
      </x:c>
      <x:c r="C150" s="17" t="str">
        <x:f>IFERROR(VLOOKUP(A150,Zawody!$A$6:$F$25,3,FALSE),"")</x:f>
      </x:c>
      <x:c r="D150" s="18" t="str"/>
      <x:c r="E150" s="17" t="str"/>
      <x:c r="F150" s="17" t="str"/>
      <x:c r="G150" s="25" t="str">
        <x:f>IF(OR(A150="",D150=""),"",IF(AND(D150&gt;=1,D150&lt;=5),6-D150,0))</x:f>
      </x:c>
      <x:c r="H150" s="22" t="str"/>
      <x:c r="I150" s="17" t="str"/>
    </x:row>
    <x:row r="151">
      <x:c r="A151" s="18" t="str"/>
      <x:c r="B151" s="17" t="str">
        <x:f>IFERROR(VLOOKUP(A151,Zawody!$A$6:$F$25,2,FALSE),"")</x:f>
      </x:c>
      <x:c r="C151" s="17" t="str">
        <x:f>IFERROR(VLOOKUP(A151,Zawody!$A$6:$F$25,3,FALSE),"")</x:f>
      </x:c>
      <x:c r="D151" s="18" t="str"/>
      <x:c r="E151" s="17" t="str"/>
      <x:c r="F151" s="17" t="str"/>
      <x:c r="G151" s="25" t="str">
        <x:f>IF(OR(A151="",D151=""),"",IF(AND(D151&gt;=1,D151&lt;=5),6-D151,0))</x:f>
      </x:c>
      <x:c r="H151" s="22" t="str"/>
      <x:c r="I151" s="17" t="str"/>
    </x:row>
    <x:row r="152">
      <x:c r="A152" s="18" t="str"/>
      <x:c r="B152" s="17" t="str">
        <x:f>IFERROR(VLOOKUP(A152,Zawody!$A$6:$F$25,2,FALSE),"")</x:f>
      </x:c>
      <x:c r="C152" s="17" t="str">
        <x:f>IFERROR(VLOOKUP(A152,Zawody!$A$6:$F$25,3,FALSE),"")</x:f>
      </x:c>
      <x:c r="D152" s="18" t="str"/>
      <x:c r="E152" s="17" t="str"/>
      <x:c r="F152" s="17" t="str"/>
      <x:c r="G152" s="25" t="str">
        <x:f>IF(OR(A152="",D152=""),"",IF(AND(D152&gt;=1,D152&lt;=5),6-D152,0))</x:f>
      </x:c>
      <x:c r="H152" s="22" t="str"/>
      <x:c r="I152" s="17" t="str"/>
    </x:row>
    <x:row r="153">
      <x:c r="A153" s="18" t="str"/>
      <x:c r="B153" s="17" t="str">
        <x:f>IFERROR(VLOOKUP(A153,Zawody!$A$6:$F$25,2,FALSE),"")</x:f>
      </x:c>
      <x:c r="C153" s="17" t="str">
        <x:f>IFERROR(VLOOKUP(A153,Zawody!$A$6:$F$25,3,FALSE),"")</x:f>
      </x:c>
      <x:c r="D153" s="18" t="str"/>
      <x:c r="E153" s="17" t="str"/>
      <x:c r="F153" s="17" t="str"/>
      <x:c r="G153" s="25" t="str">
        <x:f>IF(OR(A153="",D153=""),"",IF(AND(D153&gt;=1,D153&lt;=5),6-D153,0))</x:f>
      </x:c>
      <x:c r="H153" s="22" t="str"/>
      <x:c r="I153" s="17" t="str"/>
    </x:row>
    <x:row r="154">
      <x:c r="A154" s="18" t="str"/>
      <x:c r="B154" s="17" t="str">
        <x:f>IFERROR(VLOOKUP(A154,Zawody!$A$6:$F$25,2,FALSE),"")</x:f>
      </x:c>
      <x:c r="C154" s="17" t="str">
        <x:f>IFERROR(VLOOKUP(A154,Zawody!$A$6:$F$25,3,FALSE),"")</x:f>
      </x:c>
      <x:c r="D154" s="18" t="str"/>
      <x:c r="E154" s="17" t="str"/>
      <x:c r="F154" s="17" t="str"/>
      <x:c r="G154" s="25" t="str">
        <x:f>IF(OR(A154="",D154=""),"",IF(AND(D154&gt;=1,D154&lt;=5),6-D154,0))</x:f>
      </x:c>
      <x:c r="H154" s="22" t="str"/>
      <x:c r="I154" s="17" t="str"/>
    </x:row>
    <x:row r="155">
      <x:c r="A155" s="18" t="str"/>
      <x:c r="B155" s="17" t="str">
        <x:f>IFERROR(VLOOKUP(A155,Zawody!$A$6:$F$25,2,FALSE),"")</x:f>
      </x:c>
      <x:c r="C155" s="17" t="str">
        <x:f>IFERROR(VLOOKUP(A155,Zawody!$A$6:$F$25,3,FALSE),"")</x:f>
      </x:c>
      <x:c r="D155" s="18" t="str"/>
      <x:c r="E155" s="17" t="str"/>
      <x:c r="F155" s="17" t="str"/>
      <x:c r="G155" s="25" t="str">
        <x:f>IF(OR(A155="",D155=""),"",IF(AND(D155&gt;=1,D155&lt;=5),6-D155,0))</x:f>
      </x:c>
      <x:c r="H155" s="22" t="str"/>
      <x:c r="I155" s="17" t="str"/>
    </x:row>
    <x:row r="156">
      <x:c r="A156" s="18" t="str"/>
      <x:c r="B156" s="17" t="str">
        <x:f>IFERROR(VLOOKUP(A156,Zawody!$A$6:$F$25,2,FALSE),"")</x:f>
      </x:c>
      <x:c r="C156" s="17" t="str">
        <x:f>IFERROR(VLOOKUP(A156,Zawody!$A$6:$F$25,3,FALSE),"")</x:f>
      </x:c>
      <x:c r="D156" s="18" t="str"/>
      <x:c r="E156" s="17" t="str"/>
      <x:c r="F156" s="17" t="str"/>
      <x:c r="G156" s="25" t="str">
        <x:f>IF(OR(A156="",D156=""),"",IF(AND(D156&gt;=1,D156&lt;=5),6-D156,0))</x:f>
      </x:c>
      <x:c r="H156" s="22" t="str"/>
      <x:c r="I156" s="17" t="str"/>
    </x:row>
    <x:row r="157">
      <x:c r="A157" s="18" t="str"/>
      <x:c r="B157" s="17" t="str">
        <x:f>IFERROR(VLOOKUP(A157,Zawody!$A$6:$F$25,2,FALSE),"")</x:f>
      </x:c>
      <x:c r="C157" s="17" t="str">
        <x:f>IFERROR(VLOOKUP(A157,Zawody!$A$6:$F$25,3,FALSE),"")</x:f>
      </x:c>
      <x:c r="D157" s="18" t="str"/>
      <x:c r="E157" s="17" t="str"/>
      <x:c r="F157" s="17" t="str"/>
      <x:c r="G157" s="25" t="str">
        <x:f>IF(OR(A157="",D157=""),"",IF(AND(D157&gt;=1,D157&lt;=5),6-D157,0))</x:f>
      </x:c>
      <x:c r="H157" s="22" t="str"/>
      <x:c r="I157" s="17" t="str"/>
    </x:row>
    <x:row r="158">
      <x:c r="A158" s="18" t="str"/>
      <x:c r="B158" s="17" t="str">
        <x:f>IFERROR(VLOOKUP(A158,Zawody!$A$6:$F$25,2,FALSE),"")</x:f>
      </x:c>
      <x:c r="C158" s="17" t="str">
        <x:f>IFERROR(VLOOKUP(A158,Zawody!$A$6:$F$25,3,FALSE),"")</x:f>
      </x:c>
      <x:c r="D158" s="18" t="str"/>
      <x:c r="E158" s="17" t="str"/>
      <x:c r="F158" s="17" t="str"/>
      <x:c r="G158" s="25" t="str">
        <x:f>IF(OR(A158="",D158=""),"",IF(AND(D158&gt;=1,D158&lt;=5),6-D158,0))</x:f>
      </x:c>
      <x:c r="H158" s="22" t="str"/>
      <x:c r="I158" s="17" t="str"/>
    </x:row>
    <x:row r="159">
      <x:c r="A159" s="18" t="str"/>
      <x:c r="B159" s="17" t="str">
        <x:f>IFERROR(VLOOKUP(A159,Zawody!$A$6:$F$25,2,FALSE),"")</x:f>
      </x:c>
      <x:c r="C159" s="17" t="str">
        <x:f>IFERROR(VLOOKUP(A159,Zawody!$A$6:$F$25,3,FALSE),"")</x:f>
      </x:c>
      <x:c r="D159" s="18" t="str"/>
      <x:c r="E159" s="17" t="str"/>
      <x:c r="F159" s="17" t="str"/>
      <x:c r="G159" s="25" t="str">
        <x:f>IF(OR(A159="",D159=""),"",IF(AND(D159&gt;=1,D159&lt;=5),6-D159,0))</x:f>
      </x:c>
      <x:c r="H159" s="22" t="str"/>
      <x:c r="I159" s="17" t="str"/>
    </x:row>
    <x:row r="160">
      <x:c r="A160" s="18" t="str"/>
      <x:c r="B160" s="17" t="str">
        <x:f>IFERROR(VLOOKUP(A160,Zawody!$A$6:$F$25,2,FALSE),"")</x:f>
      </x:c>
      <x:c r="C160" s="17" t="str">
        <x:f>IFERROR(VLOOKUP(A160,Zawody!$A$6:$F$25,3,FALSE),"")</x:f>
      </x:c>
      <x:c r="D160" s="18" t="str"/>
      <x:c r="E160" s="17" t="str"/>
      <x:c r="F160" s="17" t="str"/>
      <x:c r="G160" s="25" t="str">
        <x:f>IF(OR(A160="",D160=""),"",IF(AND(D160&gt;=1,D160&lt;=5),6-D160,0))</x:f>
      </x:c>
      <x:c r="H160" s="22" t="str"/>
      <x:c r="I160" s="17" t="str"/>
    </x:row>
    <x:row r="161">
      <x:c r="A161" s="18" t="str"/>
      <x:c r="B161" s="17" t="str">
        <x:f>IFERROR(VLOOKUP(A161,Zawody!$A$6:$F$25,2,FALSE),"")</x:f>
      </x:c>
      <x:c r="C161" s="17" t="str">
        <x:f>IFERROR(VLOOKUP(A161,Zawody!$A$6:$F$25,3,FALSE),"")</x:f>
      </x:c>
      <x:c r="D161" s="18" t="str"/>
      <x:c r="E161" s="17" t="str"/>
      <x:c r="F161" s="17" t="str"/>
      <x:c r="G161" s="25" t="str">
        <x:f>IF(OR(A161="",D161=""),"",IF(AND(D161&gt;=1,D161&lt;=5),6-D161,0))</x:f>
      </x:c>
      <x:c r="H161" s="22" t="str"/>
      <x:c r="I161" s="17" t="str"/>
    </x:row>
    <x:row r="162">
      <x:c r="A162" s="18" t="str"/>
      <x:c r="B162" s="17" t="str">
        <x:f>IFERROR(VLOOKUP(A162,Zawody!$A$6:$F$25,2,FALSE),"")</x:f>
      </x:c>
      <x:c r="C162" s="17" t="str">
        <x:f>IFERROR(VLOOKUP(A162,Zawody!$A$6:$F$25,3,FALSE),"")</x:f>
      </x:c>
      <x:c r="D162" s="18" t="str"/>
      <x:c r="E162" s="17" t="str"/>
      <x:c r="F162" s="17" t="str"/>
      <x:c r="G162" s="25" t="str">
        <x:f>IF(OR(A162="",D162=""),"",IF(AND(D162&gt;=1,D162&lt;=5),6-D162,0))</x:f>
      </x:c>
      <x:c r="H162" s="22" t="str"/>
      <x:c r="I162" s="17" t="str"/>
    </x:row>
    <x:row r="163">
      <x:c r="A163" s="18" t="str"/>
      <x:c r="B163" s="17" t="str">
        <x:f>IFERROR(VLOOKUP(A163,Zawody!$A$6:$F$25,2,FALSE),"")</x:f>
      </x:c>
      <x:c r="C163" s="17" t="str">
        <x:f>IFERROR(VLOOKUP(A163,Zawody!$A$6:$F$25,3,FALSE),"")</x:f>
      </x:c>
      <x:c r="D163" s="18" t="str"/>
      <x:c r="E163" s="17" t="str"/>
      <x:c r="F163" s="17" t="str"/>
      <x:c r="G163" s="25" t="str">
        <x:f>IF(OR(A163="",D163=""),"",IF(AND(D163&gt;=1,D163&lt;=5),6-D163,0))</x:f>
      </x:c>
      <x:c r="H163" s="22" t="str"/>
      <x:c r="I163" s="17" t="str"/>
    </x:row>
    <x:row r="164">
      <x:c r="A164" s="18" t="str"/>
      <x:c r="B164" s="17" t="str">
        <x:f>IFERROR(VLOOKUP(A164,Zawody!$A$6:$F$25,2,FALSE),"")</x:f>
      </x:c>
      <x:c r="C164" s="17" t="str">
        <x:f>IFERROR(VLOOKUP(A164,Zawody!$A$6:$F$25,3,FALSE),"")</x:f>
      </x:c>
      <x:c r="D164" s="18" t="str"/>
      <x:c r="E164" s="17" t="str"/>
      <x:c r="F164" s="17" t="str"/>
      <x:c r="G164" s="25" t="str">
        <x:f>IF(OR(A164="",D164=""),"",IF(AND(D164&gt;=1,D164&lt;=5),6-D164,0))</x:f>
      </x:c>
      <x:c r="H164" s="22" t="str"/>
      <x:c r="I164" s="17" t="str"/>
    </x:row>
    <x:row r="165">
      <x:c r="A165" s="18" t="str"/>
      <x:c r="B165" s="17" t="str">
        <x:f>IFERROR(VLOOKUP(A165,Zawody!$A$6:$F$25,2,FALSE),"")</x:f>
      </x:c>
      <x:c r="C165" s="17" t="str">
        <x:f>IFERROR(VLOOKUP(A165,Zawody!$A$6:$F$25,3,FALSE),"")</x:f>
      </x:c>
      <x:c r="D165" s="18" t="str"/>
      <x:c r="E165" s="17" t="str"/>
      <x:c r="F165" s="17" t="str"/>
      <x:c r="G165" s="25" t="str">
        <x:f>IF(OR(A165="",D165=""),"",IF(AND(D165&gt;=1,D165&lt;=5),6-D165,0))</x:f>
      </x:c>
      <x:c r="H165" s="22" t="str"/>
      <x:c r="I165" s="17" t="str"/>
    </x:row>
    <x:row r="166">
      <x:c r="A166" s="18" t="str"/>
      <x:c r="B166" s="17" t="str">
        <x:f>IFERROR(VLOOKUP(A166,Zawody!$A$6:$F$25,2,FALSE),"")</x:f>
      </x:c>
      <x:c r="C166" s="17" t="str">
        <x:f>IFERROR(VLOOKUP(A166,Zawody!$A$6:$F$25,3,FALSE),"")</x:f>
      </x:c>
      <x:c r="D166" s="18" t="str"/>
      <x:c r="E166" s="17" t="str"/>
      <x:c r="F166" s="17" t="str"/>
      <x:c r="G166" s="25" t="str">
        <x:f>IF(OR(A166="",D166=""),"",IF(AND(D166&gt;=1,D166&lt;=5),6-D166,0))</x:f>
      </x:c>
      <x:c r="H166" s="22" t="str"/>
      <x:c r="I166" s="17" t="str"/>
    </x:row>
    <x:row r="167">
      <x:c r="A167" s="18" t="str"/>
      <x:c r="B167" s="17" t="str">
        <x:f>IFERROR(VLOOKUP(A167,Zawody!$A$6:$F$25,2,FALSE),"")</x:f>
      </x:c>
      <x:c r="C167" s="17" t="str">
        <x:f>IFERROR(VLOOKUP(A167,Zawody!$A$6:$F$25,3,FALSE),"")</x:f>
      </x:c>
      <x:c r="D167" s="18" t="str"/>
      <x:c r="E167" s="17" t="str"/>
      <x:c r="F167" s="17" t="str"/>
      <x:c r="G167" s="25" t="str">
        <x:f>IF(OR(A167="",D167=""),"",IF(AND(D167&gt;=1,D167&lt;=5),6-D167,0))</x:f>
      </x:c>
      <x:c r="H167" s="22" t="str"/>
      <x:c r="I167" s="17" t="str"/>
    </x:row>
    <x:row r="168">
      <x:c r="A168" s="18" t="str"/>
      <x:c r="B168" s="17" t="str">
        <x:f>IFERROR(VLOOKUP(A168,Zawody!$A$6:$F$25,2,FALSE),"")</x:f>
      </x:c>
      <x:c r="C168" s="17" t="str">
        <x:f>IFERROR(VLOOKUP(A168,Zawody!$A$6:$F$25,3,FALSE),"")</x:f>
      </x:c>
      <x:c r="D168" s="18" t="str"/>
      <x:c r="E168" s="17" t="str"/>
      <x:c r="F168" s="17" t="str"/>
      <x:c r="G168" s="25" t="str">
        <x:f>IF(OR(A168="",D168=""),"",IF(AND(D168&gt;=1,D168&lt;=5),6-D168,0))</x:f>
      </x:c>
      <x:c r="H168" s="22" t="str"/>
      <x:c r="I168" s="17" t="str"/>
    </x:row>
    <x:row r="169">
      <x:c r="A169" s="18" t="str"/>
      <x:c r="B169" s="17" t="str">
        <x:f>IFERROR(VLOOKUP(A169,Zawody!$A$6:$F$25,2,FALSE),"")</x:f>
      </x:c>
      <x:c r="C169" s="17" t="str">
        <x:f>IFERROR(VLOOKUP(A169,Zawody!$A$6:$F$25,3,FALSE),"")</x:f>
      </x:c>
      <x:c r="D169" s="18" t="str"/>
      <x:c r="E169" s="17" t="str"/>
      <x:c r="F169" s="17" t="str"/>
      <x:c r="G169" s="25" t="str">
        <x:f>IF(OR(A169="",D169=""),"",IF(AND(D169&gt;=1,D169&lt;=5),6-D169,0))</x:f>
      </x:c>
      <x:c r="H169" s="22" t="str"/>
      <x:c r="I169" s="17" t="str"/>
    </x:row>
    <x:row r="170">
      <x:c r="A170" s="18" t="str"/>
      <x:c r="B170" s="17" t="str">
        <x:f>IFERROR(VLOOKUP(A170,Zawody!$A$6:$F$25,2,FALSE),"")</x:f>
      </x:c>
      <x:c r="C170" s="17" t="str">
        <x:f>IFERROR(VLOOKUP(A170,Zawody!$A$6:$F$25,3,FALSE),"")</x:f>
      </x:c>
      <x:c r="D170" s="18" t="str"/>
      <x:c r="E170" s="17" t="str"/>
      <x:c r="F170" s="17" t="str"/>
      <x:c r="G170" s="25" t="str">
        <x:f>IF(OR(A170="",D170=""),"",IF(AND(D170&gt;=1,D170&lt;=5),6-D170,0))</x:f>
      </x:c>
      <x:c r="H170" s="22" t="str"/>
      <x:c r="I170" s="17" t="str"/>
    </x:row>
    <x:row r="171">
      <x:c r="A171" s="18" t="str"/>
      <x:c r="B171" s="17" t="str">
        <x:f>IFERROR(VLOOKUP(A171,Zawody!$A$6:$F$25,2,FALSE),"")</x:f>
      </x:c>
      <x:c r="C171" s="17" t="str">
        <x:f>IFERROR(VLOOKUP(A171,Zawody!$A$6:$F$25,3,FALSE),"")</x:f>
      </x:c>
      <x:c r="D171" s="18" t="str"/>
      <x:c r="E171" s="17" t="str"/>
      <x:c r="F171" s="17" t="str"/>
      <x:c r="G171" s="25" t="str">
        <x:f>IF(OR(A171="",D171=""),"",IF(AND(D171&gt;=1,D171&lt;=5),6-D171,0))</x:f>
      </x:c>
      <x:c r="H171" s="22" t="str"/>
      <x:c r="I171" s="17" t="str"/>
    </x:row>
    <x:row r="172">
      <x:c r="A172" s="18" t="str"/>
      <x:c r="B172" s="17" t="str">
        <x:f>IFERROR(VLOOKUP(A172,Zawody!$A$6:$F$25,2,FALSE),"")</x:f>
      </x:c>
      <x:c r="C172" s="17" t="str">
        <x:f>IFERROR(VLOOKUP(A172,Zawody!$A$6:$F$25,3,FALSE),"")</x:f>
      </x:c>
      <x:c r="D172" s="18" t="str"/>
      <x:c r="E172" s="17" t="str"/>
      <x:c r="F172" s="17" t="str"/>
      <x:c r="G172" s="25" t="str">
        <x:f>IF(OR(A172="",D172=""),"",IF(AND(D172&gt;=1,D172&lt;=5),6-D172,0))</x:f>
      </x:c>
      <x:c r="H172" s="22" t="str"/>
      <x:c r="I172" s="17" t="str"/>
    </x:row>
    <x:row r="173">
      <x:c r="A173" s="18" t="str"/>
      <x:c r="B173" s="17" t="str">
        <x:f>IFERROR(VLOOKUP(A173,Zawody!$A$6:$F$25,2,FALSE),"")</x:f>
      </x:c>
      <x:c r="C173" s="17" t="str">
        <x:f>IFERROR(VLOOKUP(A173,Zawody!$A$6:$F$25,3,FALSE),"")</x:f>
      </x:c>
      <x:c r="D173" s="18" t="str"/>
      <x:c r="E173" s="17" t="str"/>
      <x:c r="F173" s="17" t="str"/>
      <x:c r="G173" s="25" t="str">
        <x:f>IF(OR(A173="",D173=""),"",IF(AND(D173&gt;=1,D173&lt;=5),6-D173,0))</x:f>
      </x:c>
      <x:c r="H173" s="22" t="str"/>
      <x:c r="I173" s="17" t="str"/>
    </x:row>
    <x:row r="174">
      <x:c r="A174" s="18" t="str"/>
      <x:c r="B174" s="17" t="str">
        <x:f>IFERROR(VLOOKUP(A174,Zawody!$A$6:$F$25,2,FALSE),"")</x:f>
      </x:c>
      <x:c r="C174" s="17" t="str">
        <x:f>IFERROR(VLOOKUP(A174,Zawody!$A$6:$F$25,3,FALSE),"")</x:f>
      </x:c>
      <x:c r="D174" s="18" t="str"/>
      <x:c r="E174" s="17" t="str"/>
      <x:c r="F174" s="17" t="str"/>
      <x:c r="G174" s="25" t="str">
        <x:f>IF(OR(A174="",D174=""),"",IF(AND(D174&gt;=1,D174&lt;=5),6-D174,0))</x:f>
      </x:c>
      <x:c r="H174" s="22" t="str"/>
      <x:c r="I174" s="17" t="str"/>
    </x:row>
    <x:row r="175">
      <x:c r="A175" s="18" t="str"/>
      <x:c r="B175" s="17" t="str">
        <x:f>IFERROR(VLOOKUP(A175,Zawody!$A$6:$F$25,2,FALSE),"")</x:f>
      </x:c>
      <x:c r="C175" s="17" t="str">
        <x:f>IFERROR(VLOOKUP(A175,Zawody!$A$6:$F$25,3,FALSE),"")</x:f>
      </x:c>
      <x:c r="D175" s="18" t="str"/>
      <x:c r="E175" s="17" t="str"/>
      <x:c r="F175" s="17" t="str"/>
      <x:c r="G175" s="25" t="str">
        <x:f>IF(OR(A175="",D175=""),"",IF(AND(D175&gt;=1,D175&lt;=5),6-D175,0))</x:f>
      </x:c>
      <x:c r="H175" s="22" t="str"/>
      <x:c r="I175" s="17" t="str"/>
    </x:row>
    <x:row r="176">
      <x:c r="A176" s="18" t="str"/>
      <x:c r="B176" s="17" t="str">
        <x:f>IFERROR(VLOOKUP(A176,Zawody!$A$6:$F$25,2,FALSE),"")</x:f>
      </x:c>
      <x:c r="C176" s="17" t="str">
        <x:f>IFERROR(VLOOKUP(A176,Zawody!$A$6:$F$25,3,FALSE),"")</x:f>
      </x:c>
      <x:c r="D176" s="18" t="str"/>
      <x:c r="E176" s="17" t="str"/>
      <x:c r="F176" s="17" t="str"/>
      <x:c r="G176" s="25" t="str">
        <x:f>IF(OR(A176="",D176=""),"",IF(AND(D176&gt;=1,D176&lt;=5),6-D176,0))</x:f>
      </x:c>
      <x:c r="H176" s="22" t="str"/>
      <x:c r="I176" s="17" t="str"/>
    </x:row>
    <x:row r="177">
      <x:c r="A177" s="18" t="str"/>
      <x:c r="B177" s="17" t="str">
        <x:f>IFERROR(VLOOKUP(A177,Zawody!$A$6:$F$25,2,FALSE),"")</x:f>
      </x:c>
      <x:c r="C177" s="17" t="str">
        <x:f>IFERROR(VLOOKUP(A177,Zawody!$A$6:$F$25,3,FALSE),"")</x:f>
      </x:c>
      <x:c r="D177" s="18" t="str"/>
      <x:c r="E177" s="17" t="str"/>
      <x:c r="F177" s="17" t="str"/>
      <x:c r="G177" s="25" t="str">
        <x:f>IF(OR(A177="",D177=""),"",IF(AND(D177&gt;=1,D177&lt;=5),6-D177,0))</x:f>
      </x:c>
      <x:c r="H177" s="22" t="str"/>
      <x:c r="I177" s="17" t="str"/>
    </x:row>
    <x:row r="178">
      <x:c r="A178" s="18" t="str"/>
      <x:c r="B178" s="17" t="str">
        <x:f>IFERROR(VLOOKUP(A178,Zawody!$A$6:$F$25,2,FALSE),"")</x:f>
      </x:c>
      <x:c r="C178" s="17" t="str">
        <x:f>IFERROR(VLOOKUP(A178,Zawody!$A$6:$F$25,3,FALSE),"")</x:f>
      </x:c>
      <x:c r="D178" s="18" t="str"/>
      <x:c r="E178" s="17" t="str"/>
      <x:c r="F178" s="17" t="str"/>
      <x:c r="G178" s="25" t="str">
        <x:f>IF(OR(A178="",D178=""),"",IF(AND(D178&gt;=1,D178&lt;=5),6-D178,0))</x:f>
      </x:c>
      <x:c r="H178" s="22" t="str"/>
      <x:c r="I178" s="17" t="str"/>
    </x:row>
    <x:row r="179">
      <x:c r="A179" s="18" t="str"/>
      <x:c r="B179" s="17" t="str">
        <x:f>IFERROR(VLOOKUP(A179,Zawody!$A$6:$F$25,2,FALSE),"")</x:f>
      </x:c>
      <x:c r="C179" s="17" t="str">
        <x:f>IFERROR(VLOOKUP(A179,Zawody!$A$6:$F$25,3,FALSE),"")</x:f>
      </x:c>
      <x:c r="D179" s="18" t="str"/>
      <x:c r="E179" s="17" t="str"/>
      <x:c r="F179" s="17" t="str"/>
      <x:c r="G179" s="25" t="str">
        <x:f>IF(OR(A179="",D179=""),"",IF(AND(D179&gt;=1,D179&lt;=5),6-D179,0))</x:f>
      </x:c>
      <x:c r="H179" s="22" t="str"/>
      <x:c r="I179" s="17" t="str"/>
    </x:row>
    <x:row r="180">
      <x:c r="A180" s="18" t="str"/>
      <x:c r="B180" s="17" t="str">
        <x:f>IFERROR(VLOOKUP(A180,Zawody!$A$6:$F$25,2,FALSE),"")</x:f>
      </x:c>
      <x:c r="C180" s="17" t="str">
        <x:f>IFERROR(VLOOKUP(A180,Zawody!$A$6:$F$25,3,FALSE),"")</x:f>
      </x:c>
      <x:c r="D180" s="18" t="str"/>
      <x:c r="E180" s="17" t="str"/>
      <x:c r="F180" s="17" t="str"/>
      <x:c r="G180" s="25" t="str">
        <x:f>IF(OR(A180="",D180=""),"",IF(AND(D180&gt;=1,D180&lt;=5),6-D180,0))</x:f>
      </x:c>
      <x:c r="H180" s="22" t="str"/>
      <x:c r="I180" s="17" t="str"/>
    </x:row>
    <x:row r="181">
      <x:c r="A181" s="18" t="str"/>
      <x:c r="B181" s="17" t="str">
        <x:f>IFERROR(VLOOKUP(A181,Zawody!$A$6:$F$25,2,FALSE),"")</x:f>
      </x:c>
      <x:c r="C181" s="17" t="str">
        <x:f>IFERROR(VLOOKUP(A181,Zawody!$A$6:$F$25,3,FALSE),"")</x:f>
      </x:c>
      <x:c r="D181" s="18" t="str"/>
      <x:c r="E181" s="17" t="str"/>
      <x:c r="F181" s="17" t="str"/>
      <x:c r="G181" s="25" t="str">
        <x:f>IF(OR(A181="",D181=""),"",IF(AND(D181&gt;=1,D181&lt;=5),6-D181,0))</x:f>
      </x:c>
      <x:c r="H181" s="22" t="str"/>
      <x:c r="I181" s="17" t="str"/>
    </x:row>
    <x:row r="182">
      <x:c r="A182" s="18" t="str"/>
      <x:c r="B182" s="17" t="str">
        <x:f>IFERROR(VLOOKUP(A182,Zawody!$A$6:$F$25,2,FALSE),"")</x:f>
      </x:c>
      <x:c r="C182" s="17" t="str">
        <x:f>IFERROR(VLOOKUP(A182,Zawody!$A$6:$F$25,3,FALSE),"")</x:f>
      </x:c>
      <x:c r="D182" s="18" t="str"/>
      <x:c r="E182" s="17" t="str"/>
      <x:c r="F182" s="17" t="str"/>
      <x:c r="G182" s="25" t="str">
        <x:f>IF(OR(A182="",D182=""),"",IF(AND(D182&gt;=1,D182&lt;=5),6-D182,0))</x:f>
      </x:c>
      <x:c r="H182" s="22" t="str"/>
      <x:c r="I182" s="17" t="str"/>
    </x:row>
    <x:row r="183">
      <x:c r="A183" s="18" t="str"/>
      <x:c r="B183" s="17" t="str">
        <x:f>IFERROR(VLOOKUP(A183,Zawody!$A$6:$F$25,2,FALSE),"")</x:f>
      </x:c>
      <x:c r="C183" s="17" t="str">
        <x:f>IFERROR(VLOOKUP(A183,Zawody!$A$6:$F$25,3,FALSE),"")</x:f>
      </x:c>
      <x:c r="D183" s="18" t="str"/>
      <x:c r="E183" s="17" t="str"/>
      <x:c r="F183" s="17" t="str"/>
      <x:c r="G183" s="25" t="str">
        <x:f>IF(OR(A183="",D183=""),"",IF(AND(D183&gt;=1,D183&lt;=5),6-D183,0))</x:f>
      </x:c>
      <x:c r="H183" s="22" t="str"/>
      <x:c r="I183" s="17" t="str"/>
    </x:row>
    <x:row r="184">
      <x:c r="A184" s="18" t="str"/>
      <x:c r="B184" s="17" t="str">
        <x:f>IFERROR(VLOOKUP(A184,Zawody!$A$6:$F$25,2,FALSE),"")</x:f>
      </x:c>
      <x:c r="C184" s="17" t="str">
        <x:f>IFERROR(VLOOKUP(A184,Zawody!$A$6:$F$25,3,FALSE),"")</x:f>
      </x:c>
      <x:c r="D184" s="18" t="str"/>
      <x:c r="E184" s="17" t="str"/>
      <x:c r="F184" s="17" t="str"/>
      <x:c r="G184" s="25" t="str">
        <x:f>IF(OR(A184="",D184=""),"",IF(AND(D184&gt;=1,D184&lt;=5),6-D184,0))</x:f>
      </x:c>
      <x:c r="H184" s="22" t="str"/>
      <x:c r="I184" s="17" t="str"/>
    </x:row>
    <x:row r="185">
      <x:c r="A185" s="18" t="str"/>
      <x:c r="B185" s="17" t="str">
        <x:f>IFERROR(VLOOKUP(A185,Zawody!$A$6:$F$25,2,FALSE),"")</x:f>
      </x:c>
      <x:c r="C185" s="17" t="str">
        <x:f>IFERROR(VLOOKUP(A185,Zawody!$A$6:$F$25,3,FALSE),"")</x:f>
      </x:c>
      <x:c r="D185" s="18" t="str"/>
      <x:c r="E185" s="17" t="str"/>
      <x:c r="F185" s="17" t="str"/>
      <x:c r="G185" s="25" t="str">
        <x:f>IF(OR(A185="",D185=""),"",IF(AND(D185&gt;=1,D185&lt;=5),6-D185,0))</x:f>
      </x:c>
      <x:c r="H185" s="22" t="str"/>
      <x:c r="I185" s="17" t="str"/>
    </x:row>
    <x:row r="186">
      <x:c r="A186" s="18" t="str"/>
      <x:c r="B186" s="17" t="str">
        <x:f>IFERROR(VLOOKUP(A186,Zawody!$A$6:$F$25,2,FALSE),"")</x:f>
      </x:c>
      <x:c r="C186" s="17" t="str">
        <x:f>IFERROR(VLOOKUP(A186,Zawody!$A$6:$F$25,3,FALSE),"")</x:f>
      </x:c>
      <x:c r="D186" s="18" t="str"/>
      <x:c r="E186" s="17" t="str"/>
      <x:c r="F186" s="17" t="str"/>
      <x:c r="G186" s="25" t="str">
        <x:f>IF(OR(A186="",D186=""),"",IF(AND(D186&gt;=1,D186&lt;=5),6-D186,0))</x:f>
      </x:c>
      <x:c r="H186" s="22" t="str"/>
      <x:c r="I186" s="17" t="str"/>
    </x:row>
    <x:row r="187">
      <x:c r="A187" s="18" t="str"/>
      <x:c r="B187" s="17" t="str">
        <x:f>IFERROR(VLOOKUP(A187,Zawody!$A$6:$F$25,2,FALSE),"")</x:f>
      </x:c>
      <x:c r="C187" s="17" t="str">
        <x:f>IFERROR(VLOOKUP(A187,Zawody!$A$6:$F$25,3,FALSE),"")</x:f>
      </x:c>
      <x:c r="D187" s="18" t="str"/>
      <x:c r="E187" s="17" t="str"/>
      <x:c r="F187" s="17" t="str"/>
      <x:c r="G187" s="25" t="str">
        <x:f>IF(OR(A187="",D187=""),"",IF(AND(D187&gt;=1,D187&lt;=5),6-D187,0))</x:f>
      </x:c>
      <x:c r="H187" s="22" t="str"/>
      <x:c r="I187" s="17" t="str"/>
    </x:row>
    <x:row r="188">
      <x:c r="A188" s="18" t="str"/>
      <x:c r="B188" s="17" t="str">
        <x:f>IFERROR(VLOOKUP(A188,Zawody!$A$6:$F$25,2,FALSE),"")</x:f>
      </x:c>
      <x:c r="C188" s="17" t="str">
        <x:f>IFERROR(VLOOKUP(A188,Zawody!$A$6:$F$25,3,FALSE),"")</x:f>
      </x:c>
      <x:c r="D188" s="18" t="str"/>
      <x:c r="E188" s="17" t="str"/>
      <x:c r="F188" s="17" t="str"/>
      <x:c r="G188" s="25" t="str">
        <x:f>IF(OR(A188="",D188=""),"",IF(AND(D188&gt;=1,D188&lt;=5),6-D188,0))</x:f>
      </x:c>
      <x:c r="H188" s="22" t="str"/>
      <x:c r="I188" s="17" t="str"/>
    </x:row>
    <x:row r="189">
      <x:c r="A189" s="18" t="str"/>
      <x:c r="B189" s="17" t="str">
        <x:f>IFERROR(VLOOKUP(A189,Zawody!$A$6:$F$25,2,FALSE),"")</x:f>
      </x:c>
      <x:c r="C189" s="17" t="str">
        <x:f>IFERROR(VLOOKUP(A189,Zawody!$A$6:$F$25,3,FALSE),"")</x:f>
      </x:c>
      <x:c r="D189" s="18" t="str"/>
      <x:c r="E189" s="17" t="str"/>
      <x:c r="F189" s="17" t="str"/>
      <x:c r="G189" s="25" t="str">
        <x:f>IF(OR(A189="",D189=""),"",IF(AND(D189&gt;=1,D189&lt;=5),6-D189,0))</x:f>
      </x:c>
      <x:c r="H189" s="22" t="str"/>
      <x:c r="I189" s="17" t="str"/>
    </x:row>
    <x:row r="190">
      <x:c r="A190" s="18" t="str"/>
      <x:c r="B190" s="17" t="str">
        <x:f>IFERROR(VLOOKUP(A190,Zawody!$A$6:$F$25,2,FALSE),"")</x:f>
      </x:c>
      <x:c r="C190" s="17" t="str">
        <x:f>IFERROR(VLOOKUP(A190,Zawody!$A$6:$F$25,3,FALSE),"")</x:f>
      </x:c>
      <x:c r="D190" s="18" t="str"/>
      <x:c r="E190" s="17" t="str"/>
      <x:c r="F190" s="17" t="str"/>
      <x:c r="G190" s="25" t="str">
        <x:f>IF(OR(A190="",D190=""),"",IF(AND(D190&gt;=1,D190&lt;=5),6-D190,0))</x:f>
      </x:c>
      <x:c r="H190" s="22" t="str"/>
      <x:c r="I190" s="17" t="str"/>
    </x:row>
    <x:row r="191">
      <x:c r="A191" s="18" t="str"/>
      <x:c r="B191" s="17" t="str">
        <x:f>IFERROR(VLOOKUP(A191,Zawody!$A$6:$F$25,2,FALSE),"")</x:f>
      </x:c>
      <x:c r="C191" s="17" t="str">
        <x:f>IFERROR(VLOOKUP(A191,Zawody!$A$6:$F$25,3,FALSE),"")</x:f>
      </x:c>
      <x:c r="D191" s="18" t="str"/>
      <x:c r="E191" s="17" t="str"/>
      <x:c r="F191" s="17" t="str"/>
      <x:c r="G191" s="25" t="str">
        <x:f>IF(OR(A191="",D191=""),"",IF(AND(D191&gt;=1,D191&lt;=5),6-D191,0))</x:f>
      </x:c>
      <x:c r="H191" s="22" t="str"/>
      <x:c r="I191" s="17" t="str"/>
    </x:row>
    <x:row r="192">
      <x:c r="A192" s="18" t="str"/>
      <x:c r="B192" s="17" t="str">
        <x:f>IFERROR(VLOOKUP(A192,Zawody!$A$6:$F$25,2,FALSE),"")</x:f>
      </x:c>
      <x:c r="C192" s="17" t="str">
        <x:f>IFERROR(VLOOKUP(A192,Zawody!$A$6:$F$25,3,FALSE),"")</x:f>
      </x:c>
      <x:c r="D192" s="18" t="str"/>
      <x:c r="E192" s="17" t="str"/>
      <x:c r="F192" s="17" t="str"/>
      <x:c r="G192" s="25" t="str">
        <x:f>IF(OR(A192="",D192=""),"",IF(AND(D192&gt;=1,D192&lt;=5),6-D192,0))</x:f>
      </x:c>
      <x:c r="H192" s="22" t="str"/>
      <x:c r="I192" s="17" t="str"/>
    </x:row>
    <x:row r="193">
      <x:c r="A193" s="18" t="str"/>
      <x:c r="B193" s="17" t="str">
        <x:f>IFERROR(VLOOKUP(A193,Zawody!$A$6:$F$25,2,FALSE),"")</x:f>
      </x:c>
      <x:c r="C193" s="17" t="str">
        <x:f>IFERROR(VLOOKUP(A193,Zawody!$A$6:$F$25,3,FALSE),"")</x:f>
      </x:c>
      <x:c r="D193" s="18" t="str"/>
      <x:c r="E193" s="17" t="str"/>
      <x:c r="F193" s="17" t="str"/>
      <x:c r="G193" s="25" t="str">
        <x:f>IF(OR(A193="",D193=""),"",IF(AND(D193&gt;=1,D193&lt;=5),6-D193,0))</x:f>
      </x:c>
      <x:c r="H193" s="22" t="str"/>
      <x:c r="I193" s="17" t="str"/>
    </x:row>
    <x:row r="194">
      <x:c r="A194" s="18" t="str"/>
      <x:c r="B194" s="17" t="str">
        <x:f>IFERROR(VLOOKUP(A194,Zawody!$A$6:$F$25,2,FALSE),"")</x:f>
      </x:c>
      <x:c r="C194" s="17" t="str">
        <x:f>IFERROR(VLOOKUP(A194,Zawody!$A$6:$F$25,3,FALSE),"")</x:f>
      </x:c>
      <x:c r="D194" s="18" t="str"/>
      <x:c r="E194" s="17" t="str"/>
      <x:c r="F194" s="17" t="str"/>
      <x:c r="G194" s="25" t="str">
        <x:f>IF(OR(A194="",D194=""),"",IF(AND(D194&gt;=1,D194&lt;=5),6-D194,0))</x:f>
      </x:c>
      <x:c r="H194" s="22" t="str"/>
      <x:c r="I194" s="17" t="str"/>
    </x:row>
    <x:row r="195">
      <x:c r="A195" s="18" t="str"/>
      <x:c r="B195" s="17" t="str">
        <x:f>IFERROR(VLOOKUP(A195,Zawody!$A$6:$F$25,2,FALSE),"")</x:f>
      </x:c>
      <x:c r="C195" s="17" t="str">
        <x:f>IFERROR(VLOOKUP(A195,Zawody!$A$6:$F$25,3,FALSE),"")</x:f>
      </x:c>
      <x:c r="D195" s="18" t="str"/>
      <x:c r="E195" s="17" t="str"/>
      <x:c r="F195" s="17" t="str"/>
      <x:c r="G195" s="25" t="str">
        <x:f>IF(OR(A195="",D195=""),"",IF(AND(D195&gt;=1,D195&lt;=5),6-D195,0))</x:f>
      </x:c>
      <x:c r="H195" s="22" t="str"/>
      <x:c r="I195" s="17" t="str"/>
    </x:row>
    <x:row r="196">
      <x:c r="A196" s="18" t="str"/>
      <x:c r="B196" s="17" t="str">
        <x:f>IFERROR(VLOOKUP(A196,Zawody!$A$6:$F$25,2,FALSE),"")</x:f>
      </x:c>
      <x:c r="C196" s="17" t="str">
        <x:f>IFERROR(VLOOKUP(A196,Zawody!$A$6:$F$25,3,FALSE),"")</x:f>
      </x:c>
      <x:c r="D196" s="18" t="str"/>
      <x:c r="E196" s="17" t="str"/>
      <x:c r="F196" s="17" t="str"/>
      <x:c r="G196" s="25" t="str">
        <x:f>IF(OR(A196="",D196=""),"",IF(AND(D196&gt;=1,D196&lt;=5),6-D196,0))</x:f>
      </x:c>
      <x:c r="H196" s="22" t="str"/>
      <x:c r="I196" s="17" t="str"/>
    </x:row>
    <x:row r="197">
      <x:c r="A197" s="18" t="str"/>
      <x:c r="B197" s="17" t="str">
        <x:f>IFERROR(VLOOKUP(A197,Zawody!$A$6:$F$25,2,FALSE),"")</x:f>
      </x:c>
      <x:c r="C197" s="17" t="str">
        <x:f>IFERROR(VLOOKUP(A197,Zawody!$A$6:$F$25,3,FALSE),"")</x:f>
      </x:c>
      <x:c r="D197" s="18" t="str"/>
      <x:c r="E197" s="17" t="str"/>
      <x:c r="F197" s="17" t="str"/>
      <x:c r="G197" s="25" t="str">
        <x:f>IF(OR(A197="",D197=""),"",IF(AND(D197&gt;=1,D197&lt;=5),6-D197,0))</x:f>
      </x:c>
      <x:c r="H197" s="22" t="str"/>
      <x:c r="I197" s="17" t="str"/>
    </x:row>
    <x:row r="198">
      <x:c r="A198" s="18" t="str"/>
      <x:c r="B198" s="17" t="str">
        <x:f>IFERROR(VLOOKUP(A198,Zawody!$A$6:$F$25,2,FALSE),"")</x:f>
      </x:c>
      <x:c r="C198" s="17" t="str">
        <x:f>IFERROR(VLOOKUP(A198,Zawody!$A$6:$F$25,3,FALSE),"")</x:f>
      </x:c>
      <x:c r="D198" s="18" t="str"/>
      <x:c r="E198" s="17" t="str"/>
      <x:c r="F198" s="17" t="str"/>
      <x:c r="G198" s="25" t="str">
        <x:f>IF(OR(A198="",D198=""),"",IF(AND(D198&gt;=1,D198&lt;=5),6-D198,0))</x:f>
      </x:c>
      <x:c r="H198" s="22" t="str"/>
      <x:c r="I198" s="17" t="str"/>
    </x:row>
    <x:row r="199">
      <x:c r="A199" s="18" t="str"/>
      <x:c r="B199" s="17" t="str">
        <x:f>IFERROR(VLOOKUP(A199,Zawody!$A$6:$F$25,2,FALSE),"")</x:f>
      </x:c>
      <x:c r="C199" s="17" t="str">
        <x:f>IFERROR(VLOOKUP(A199,Zawody!$A$6:$F$25,3,FALSE),"")</x:f>
      </x:c>
      <x:c r="D199" s="18" t="str"/>
      <x:c r="E199" s="17" t="str"/>
      <x:c r="F199" s="17" t="str"/>
      <x:c r="G199" s="25" t="str">
        <x:f>IF(OR(A199="",D199=""),"",IF(AND(D199&gt;=1,D199&lt;=5),6-D199,0))</x:f>
      </x:c>
      <x:c r="H199" s="22" t="str"/>
      <x:c r="I199" s="17" t="str"/>
    </x:row>
    <x:row r="200">
      <x:c r="A200" s="18" t="str"/>
      <x:c r="B200" s="17" t="str">
        <x:f>IFERROR(VLOOKUP(A200,Zawody!$A$6:$F$25,2,FALSE),"")</x:f>
      </x:c>
      <x:c r="C200" s="17" t="str">
        <x:f>IFERROR(VLOOKUP(A200,Zawody!$A$6:$F$25,3,FALSE),"")</x:f>
      </x:c>
      <x:c r="D200" s="18" t="str"/>
      <x:c r="E200" s="17" t="str"/>
      <x:c r="F200" s="17" t="str"/>
      <x:c r="G200" s="25" t="str">
        <x:f>IF(OR(A200="",D200=""),"",IF(AND(D200&gt;=1,D200&lt;=5),6-D200,0))</x:f>
      </x:c>
      <x:c r="H200" s="22" t="str"/>
      <x:c r="I200" s="17" t="str"/>
    </x:row>
    <x:row r="201">
      <x:c r="A201" s="18" t="str"/>
      <x:c r="B201" s="17" t="str">
        <x:f>IFERROR(VLOOKUP(A201,Zawody!$A$6:$F$25,2,FALSE),"")</x:f>
      </x:c>
      <x:c r="C201" s="17" t="str">
        <x:f>IFERROR(VLOOKUP(A201,Zawody!$A$6:$F$25,3,FALSE),"")</x:f>
      </x:c>
      <x:c r="D201" s="18" t="str"/>
      <x:c r="E201" s="17" t="str"/>
      <x:c r="F201" s="17" t="str"/>
      <x:c r="G201" s="25" t="str">
        <x:f>IF(OR(A201="",D201=""),"",IF(AND(D201&gt;=1,D201&lt;=5),6-D201,0))</x:f>
      </x:c>
      <x:c r="H201" s="22" t="str"/>
      <x:c r="I201" s="17" t="str"/>
    </x:row>
    <x:row r="202">
      <x:c r="A202" s="18" t="str"/>
      <x:c r="B202" s="17" t="str">
        <x:f>IFERROR(VLOOKUP(A202,Zawody!$A$6:$F$25,2,FALSE),"")</x:f>
      </x:c>
      <x:c r="C202" s="17" t="str">
        <x:f>IFERROR(VLOOKUP(A202,Zawody!$A$6:$F$25,3,FALSE),"")</x:f>
      </x:c>
      <x:c r="D202" s="18" t="str"/>
      <x:c r="E202" s="17" t="str"/>
      <x:c r="F202" s="17" t="str"/>
      <x:c r="G202" s="25" t="str">
        <x:f>IF(OR(A202="",D202=""),"",IF(AND(D202&gt;=1,D202&lt;=5),6-D202,0))</x:f>
      </x:c>
      <x:c r="H202" s="22" t="str"/>
      <x:c r="I202" s="17" t="str"/>
    </x:row>
    <x:row r="203">
      <x:c r="A203" s="18" t="str"/>
      <x:c r="B203" s="17" t="str">
        <x:f>IFERROR(VLOOKUP(A203,Zawody!$A$6:$F$25,2,FALSE),"")</x:f>
      </x:c>
      <x:c r="C203" s="17" t="str">
        <x:f>IFERROR(VLOOKUP(A203,Zawody!$A$6:$F$25,3,FALSE),"")</x:f>
      </x:c>
      <x:c r="D203" s="18" t="str"/>
      <x:c r="E203" s="17" t="str"/>
      <x:c r="F203" s="17" t="str"/>
      <x:c r="G203" s="25" t="str">
        <x:f>IF(OR(A203="",D203=""),"",IF(AND(D203&gt;=1,D203&lt;=5),6-D203,0))</x:f>
      </x:c>
      <x:c r="H203" s="22" t="str"/>
      <x:c r="I203" s="17" t="str"/>
    </x:row>
    <x:row r="204">
      <x:c r="A204" s="18" t="str"/>
      <x:c r="B204" s="17" t="str">
        <x:f>IFERROR(VLOOKUP(A204,Zawody!$A$6:$F$25,2,FALSE),"")</x:f>
      </x:c>
      <x:c r="C204" s="17" t="str">
        <x:f>IFERROR(VLOOKUP(A204,Zawody!$A$6:$F$25,3,FALSE),"")</x:f>
      </x:c>
      <x:c r="D204" s="18" t="str"/>
      <x:c r="E204" s="17" t="str"/>
      <x:c r="F204" s="17" t="str"/>
      <x:c r="G204" s="25" t="str">
        <x:f>IF(OR(A204="",D204=""),"",IF(AND(D204&gt;=1,D204&lt;=5),6-D204,0))</x:f>
      </x:c>
      <x:c r="H204" s="22" t="str"/>
      <x:c r="I204" s="17" t="str"/>
    </x:row>
    <x:row r="205">
      <x:c r="A205" s="18" t="str"/>
      <x:c r="B205" s="17" t="str">
        <x:f>IFERROR(VLOOKUP(A205,Zawody!$A$6:$F$25,2,FALSE),"")</x:f>
      </x:c>
      <x:c r="C205" s="17" t="str">
        <x:f>IFERROR(VLOOKUP(A205,Zawody!$A$6:$F$25,3,FALSE),"")</x:f>
      </x:c>
      <x:c r="D205" s="18" t="str"/>
      <x:c r="E205" s="17" t="str"/>
      <x:c r="F205" s="17" t="str"/>
      <x:c r="G205" s="25" t="str">
        <x:f>IF(OR(A205="",D205=""),"",IF(AND(D205&gt;=1,D205&lt;=5),6-D205,0))</x:f>
      </x:c>
      <x:c r="H205" s="22" t="str"/>
      <x:c r="I205" s="17" t="str"/>
    </x:row>
  </x:sheetData>
  <x:mergeCells>
    <x:mergeCell ref="A1:I1"/>
    <x:mergeCell ref="A2:I3"/>
  </x:mergeCells>
  <x:dataValidations count="2">
    <x:dataValidation type="whole" operator="between" sqref="A6:A205">
      <x:formula1>1</x:formula1>
      <x:formula2>20</x:formula2>
    </x:dataValidation>
    <x:dataValidation type="whole" operator="between" sqref="D6:D205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0" hidden="0" customWidth="1"/>
    <x:col min="4" max="4" width="30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REJESTR ZAWODÓW - SEZON 2026</x:v>
      </x:c>
      <x:c r="B1" s="4" t="str">
        <x:v>REJESTR ZAWODÓW - SEZON 2026</x:v>
      </x:c>
      <x:c r="C1" s="4" t="str">
        <x:v>REJESTR ZAWODÓW - SEZON 2026</x:v>
      </x:c>
      <x:c r="D1" s="4" t="str">
        <x:v>REJESTR ZAWODÓW - SEZON 2026</x:v>
      </x:c>
      <x:c r="E1" s="4" t="str">
        <x:v>REJESTR ZAWODÓW - SEZON 2026</x:v>
      </x:c>
      <x:c r="F1" s="4" t="str">
        <x:v>REJESTR ZAWODÓW - SEZON 2026</x:v>
      </x:c>
    </x:row>
    <x:row r="2" ht="24" customHeight="1">
      <x:c r="A2" s="8" t="str">
        <x:v>Dziesięć imprez jest już wpisanych chronologicznie. Wiersze 16-25 pozostają gotowe na kolejne zawody sezonu 2026.</x:v>
      </x:c>
      <x:c r="B2" s="8" t="str">
        <x:v>Dziesięć imprez jest już wpisanych chronologicznie. Wiersze 16-25 pozostają gotowe na kolejne zawody sezonu 2026.</x:v>
      </x:c>
      <x:c r="C2" s="8" t="str">
        <x:v>Dziesięć imprez jest już wpisanych chronologicznie. Wiersze 16-25 pozostają gotowe na kolejne zawody sezonu 2026.</x:v>
      </x:c>
      <x:c r="D2" s="8" t="str">
        <x:v>Dziesięć imprez jest już wpisanych chronologicznie. Wiersze 16-25 pozostają gotowe na kolejne zawody sezonu 2026.</x:v>
      </x:c>
      <x:c r="E2" s="8" t="str">
        <x:v>Dziesięć imprez jest już wpisanych chronologicznie. Wiersze 16-25 pozostają gotowe na kolejne zawody sezonu 2026.</x:v>
      </x:c>
      <x:c r="F2" s="8" t="str">
        <x:v>Dziesięć imprez jest już wpisanych chronologicznie. Wiersze 16-25 pozostają gotowe na kolejne zawody sezonu 2026.</x:v>
      </x:c>
    </x:row>
    <x:row r="3" ht="24" customHeight="1">
      <x:c r="A3" s="8" t="str">
        <x:v>Dziesięć imprez jest już wpisanych chronologicznie. Wiersze 16-25 pozostają gotowe na kolejne zawody sezonu 2026.</x:v>
      </x:c>
      <x:c r="B3" s="8" t="str">
        <x:v>Dziesięć imprez jest już wpisanych chronologicznie. Wiersze 16-25 pozostają gotowe na kolejne zawody sezonu 2026.</x:v>
      </x:c>
      <x:c r="C3" s="8" t="str">
        <x:v>Dziesięć imprez jest już wpisanych chronologicznie. Wiersze 16-25 pozostają gotowe na kolejne zawody sezonu 2026.</x:v>
      </x:c>
      <x:c r="D3" s="8" t="str">
        <x:v>Dziesięć imprez jest już wpisanych chronologicznie. Wiersze 16-25 pozostają gotowe na kolejne zawody sezonu 2026.</x:v>
      </x:c>
      <x:c r="E3" s="8" t="str">
        <x:v>Dziesięć imprez jest już wpisanych chronologicznie. Wiersze 16-25 pozostają gotowe na kolejne zawody sezonu 2026.</x:v>
      </x:c>
      <x:c r="F3" s="8" t="str">
        <x:v>Dziesięć imprez jest już wpisanych chronologicznie. Wiersze 16-25 pozostają gotowe na kolejne zawody sezonu 2026.</x:v>
      </x:c>
    </x:row>
    <x:row r="5" ht="44" customHeight="1">
      <x:c r="A5" s="14" t="str">
        <x:v>Nr</x:v>
      </x:c>
      <x:c r="B5" s="14" t="str">
        <x:v>Data</x:v>
      </x:c>
      <x:c r="C5" s="14" t="str">
        <x:v>Miejscowość</x:v>
      </x:c>
      <x:c r="D5" s="14" t="str">
        <x:v>Nazwa ujednolicona</x:v>
      </x:c>
      <x:c r="E5" s="14" t="str">
        <x:v>Status</x:v>
      </x:c>
      <x:c r="F5" s="14" t="str">
        <x:v>Plik źródłowy</x:v>
      </x:c>
    </x:row>
    <x:row r="6">
      <x:c r="A6" s="19" t="n">
        <x:v>1</x:v>
      </x:c>
      <x:c r="B6" s="20" t="str">
        <x:v>01.05.2026</x:v>
      </x:c>
      <x:c r="C6" s="20" t="str">
        <x:v>Siewierz</x:v>
      </x:c>
      <x:c r="D6" s="20" t="str">
        <x:v>Siewierz · 01.05.2026</x:v>
      </x:c>
      <x:c r="E6" s="20" t="str">
        <x:v>Rozegrane</x:v>
      </x:c>
      <x:c r="F6" s="20" t="str">
        <x:v>SIEWIERZ 1.05.2026</x:v>
      </x:c>
    </x:row>
    <x:row r="7">
      <x:c r="A7" s="19" t="n">
        <x:v>2</x:v>
      </x:c>
      <x:c r="B7" s="20" t="str">
        <x:v>30.05.2026</x:v>
      </x:c>
      <x:c r="C7" s="20" t="str">
        <x:v>Czerwonak</x:v>
      </x:c>
      <x:c r="D7" s="20" t="str">
        <x:v>Czerwonak · 30.05.2026</x:v>
      </x:c>
      <x:c r="E7" s="20" t="str">
        <x:v>Rozegrane</x:v>
      </x:c>
      <x:c r="F7" s="20" t="str">
        <x:v>Czerwonak 30.05</x:v>
      </x:c>
    </x:row>
    <x:row r="8">
      <x:c r="A8" s="19" t="n">
        <x:v>3</x:v>
      </x:c>
      <x:c r="B8" s="20" t="str">
        <x:v>01.06.2026</x:v>
      </x:c>
      <x:c r="C8" s="20" t="str">
        <x:v>Kleszczów</x:v>
      </x:c>
      <x:c r="D8" s="20" t="str">
        <x:v>Kleszczów · 01.06.2026</x:v>
      </x:c>
      <x:c r="E8" s="20" t="str">
        <x:v>Rozegrane</x:v>
      </x:c>
      <x:c r="F8" s="20" t="str">
        <x:v>Kleszczów 1.06</x:v>
      </x:c>
    </x:row>
    <x:row r="9">
      <x:c r="A9" s="19" t="n">
        <x:v>4</x:v>
      </x:c>
      <x:c r="B9" s="20" t="str">
        <x:v>06.06.2026</x:v>
      </x:c>
      <x:c r="C9" s="20" t="str">
        <x:v>Ruciane-Nida</x:v>
      </x:c>
      <x:c r="D9" s="20" t="str">
        <x:v>Ruciane-Nida · 06.06.2026</x:v>
      </x:c>
      <x:c r="E9" s="20" t="str">
        <x:v>Rozegrane</x:v>
      </x:c>
      <x:c r="F9" s="20" t="str">
        <x:v>Ruciane-Nida 06.06.2026 r</x:v>
      </x:c>
    </x:row>
    <x:row r="10">
      <x:c r="A10" s="19" t="n">
        <x:v>5</x:v>
      </x:c>
      <x:c r="B10" s="20" t="str">
        <x:v>07.06.2026</x:v>
      </x:c>
      <x:c r="C10" s="20" t="str">
        <x:v>Prabuty</x:v>
      </x:c>
      <x:c r="D10" s="20" t="str">
        <x:v>Prabuty · 07.06.2026</x:v>
      </x:c>
      <x:c r="E10" s="20" t="str">
        <x:v>Rozegrane</x:v>
      </x:c>
      <x:c r="F10" s="20" t="str">
        <x:v>Prabuty 07.06.2026 r</x:v>
      </x:c>
    </x:row>
    <x:row r="11">
      <x:c r="A11" s="19" t="n">
        <x:v>6</x:v>
      </x:c>
      <x:c r="B11" s="20" t="str">
        <x:v>12.06.2026</x:v>
      </x:c>
      <x:c r="C11" s="20" t="str">
        <x:v>Tuszyn</x:v>
      </x:c>
      <x:c r="D11" s="20" t="str">
        <x:v>Tuszyn · 12.06.2026</x:v>
      </x:c>
      <x:c r="E11" s="20" t="str">
        <x:v>Rozegrane</x:v>
      </x:c>
      <x:c r="F11" s="20" t="str">
        <x:v>Tuszyn 12.06.2026 r</x:v>
      </x:c>
    </x:row>
    <x:row r="12">
      <x:c r="A12" s="19" t="n">
        <x:v>7</x:v>
      </x:c>
      <x:c r="B12" s="20" t="str">
        <x:v>27.06.2026</x:v>
      </x:c>
      <x:c r="C12" s="20" t="str">
        <x:v>Busko-Zdrój</x:v>
      </x:c>
      <x:c r="D12" s="20" t="str">
        <x:v>Busko-Zdrój · 27.06.2026</x:v>
      </x:c>
      <x:c r="E12" s="20" t="str">
        <x:v>Rozegrane</x:v>
      </x:c>
      <x:c r="F12" s="20" t="str">
        <x:v>Busko-Zdroj 27.06.2026 r</x:v>
      </x:c>
    </x:row>
    <x:row r="13">
      <x:c r="A13" s="19" t="n">
        <x:v>8</x:v>
      </x:c>
      <x:c r="B13" s="20" t="str">
        <x:v>26.07.2026</x:v>
      </x:c>
      <x:c r="C13" s="20" t="str">
        <x:v>Kleczew</x:v>
      </x:c>
      <x:c r="D13" s="20" t="str">
        <x:v>Kleczew · 26.07.2026</x:v>
      </x:c>
      <x:c r="E13" s="20" t="str">
        <x:v>Rozegrane</x:v>
      </x:c>
      <x:c r="F13" s="20" t="str">
        <x:v>KLECZEW · 26.07.2026</x:v>
      </x:c>
    </x:row>
    <x:row r="14">
      <x:c r="A14" s="19" t="n">
        <x:v>9</x:v>
      </x:c>
      <x:c r="B14" s="20" t="str">
        <x:v>26.07.2026</x:v>
      </x:c>
      <x:c r="C14" s="20" t="str">
        <x:v>Lubawka</x:v>
      </x:c>
      <x:c r="D14" s="20" t="str">
        <x:v>Lubawka · 26.07.2026</x:v>
      </x:c>
      <x:c r="E14" s="20" t="str">
        <x:v>Rozegrane</x:v>
      </x:c>
      <x:c r="F14" s="20" t="str">
        <x:v>LUBAWKA · 26.07.2026</x:v>
      </x:c>
    </x:row>
    <x:row r="15">
      <x:c r="A15" s="19" t="n">
        <x:v>10</x:v>
      </x:c>
      <x:c r="B15" s="20" t="str">
        <x:v>02.08.2026</x:v>
      </x:c>
      <x:c r="C15" s="20" t="str">
        <x:v>Radwanice</x:v>
      </x:c>
      <x:c r="D15" s="20" t="str">
        <x:v>Radwanice · 02.08.2026</x:v>
      </x:c>
      <x:c r="E15" s="20" t="str">
        <x:v>Rozegrane</x:v>
      </x:c>
      <x:c r="F15" s="20" t="str">
        <x:v>RADWANICE 2.08.2026 r</x:v>
      </x:c>
    </x:row>
    <x:row r="16">
      <x:c r="A16" s="18" t="n">
        <x:v>11</x:v>
      </x:c>
      <x:c r="B16" s="17"/>
      <x:c r="C16" s="17" t="str"/>
      <x:c r="D16" s="17" t="str"/>
      <x:c r="E16" s="17" t="str">
        <x:v>Planowane</x:v>
      </x:c>
      <x:c r="F16" s="17" t="str"/>
    </x:row>
    <x:row r="17">
      <x:c r="A17" s="18" t="n">
        <x:v>12</x:v>
      </x:c>
      <x:c r="B17" s="17"/>
      <x:c r="C17" s="17" t="str"/>
      <x:c r="D17" s="17" t="str"/>
      <x:c r="E17" s="17" t="str">
        <x:v>Planowane</x:v>
      </x:c>
      <x:c r="F17" s="17" t="str"/>
    </x:row>
    <x:row r="18">
      <x:c r="A18" s="18" t="n">
        <x:v>13</x:v>
      </x:c>
      <x:c r="B18" s="17"/>
      <x:c r="C18" s="17" t="str"/>
      <x:c r="D18" s="17" t="str"/>
      <x:c r="E18" s="17" t="str">
        <x:v>Planowane</x:v>
      </x:c>
      <x:c r="F18" s="17" t="str"/>
    </x:row>
    <x:row r="19">
      <x:c r="A19" s="18" t="n">
        <x:v>14</x:v>
      </x:c>
      <x:c r="B19" s="17"/>
      <x:c r="C19" s="17" t="str"/>
      <x:c r="D19" s="17" t="str"/>
      <x:c r="E19" s="17" t="str">
        <x:v>Planowane</x:v>
      </x:c>
      <x:c r="F19" s="17" t="str"/>
    </x:row>
    <x:row r="20">
      <x:c r="A20" s="18" t="n">
        <x:v>15</x:v>
      </x:c>
      <x:c r="B20" s="17"/>
      <x:c r="C20" s="17" t="str"/>
      <x:c r="D20" s="17" t="str"/>
      <x:c r="E20" s="17" t="str">
        <x:v>Planowane</x:v>
      </x:c>
      <x:c r="F20" s="17" t="str"/>
    </x:row>
    <x:row r="21">
      <x:c r="A21" s="18" t="n">
        <x:v>16</x:v>
      </x:c>
      <x:c r="B21" s="17"/>
      <x:c r="C21" s="17" t="str"/>
      <x:c r="D21" s="17" t="str"/>
      <x:c r="E21" s="17" t="str">
        <x:v>Planowane</x:v>
      </x:c>
      <x:c r="F21" s="17" t="str"/>
    </x:row>
    <x:row r="22">
      <x:c r="A22" s="18" t="n">
        <x:v>17</x:v>
      </x:c>
      <x:c r="B22" s="17"/>
      <x:c r="C22" s="17" t="str"/>
      <x:c r="D22" s="17" t="str"/>
      <x:c r="E22" s="17" t="str">
        <x:v>Planowane</x:v>
      </x:c>
      <x:c r="F22" s="17" t="str"/>
    </x:row>
    <x:row r="23">
      <x:c r="A23" s="18" t="n">
        <x:v>18</x:v>
      </x:c>
      <x:c r="B23" s="17"/>
      <x:c r="C23" s="17" t="str"/>
      <x:c r="D23" s="17" t="str"/>
      <x:c r="E23" s="17" t="str">
        <x:v>Planowane</x:v>
      </x:c>
      <x:c r="F23" s="17" t="str"/>
    </x:row>
    <x:row r="24">
      <x:c r="A24" s="18" t="n">
        <x:v>19</x:v>
      </x:c>
      <x:c r="B24" s="17"/>
      <x:c r="C24" s="17" t="str"/>
      <x:c r="D24" s="17" t="str"/>
      <x:c r="E24" s="17" t="str">
        <x:v>Planowane</x:v>
      </x:c>
      <x:c r="F24" s="17" t="str"/>
    </x:row>
    <x:row r="25">
      <x:c r="A25" s="18" t="n">
        <x:v>20</x:v>
      </x:c>
      <x:c r="B25" s="17"/>
      <x:c r="C25" s="17" t="str"/>
      <x:c r="D25" s="17" t="str"/>
      <x:c r="E25" s="17" t="str">
        <x:v>Planowane</x:v>
      </x:c>
      <x:c r="F25" s="17" t="str"/>
    </x:row>
  </x:sheetData>
  <x:mergeCells>
    <x:mergeCell ref="A1:F1"/>
    <x:mergeCell ref="A2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6" hidden="0" customWidth="1"/>
    <x:col min="4" max="4" width="11" hidden="0" customWidth="1"/>
    <x:col min="5" max="5" width="11" hidden="0" customWidth="1"/>
    <x:col min="6" max="6" width="35" hidden="0" customWidth="1"/>
  </x:cols>
  <x:sheetData>
    <x:row r="1" ht="30" customHeight="1">
      <x:c r="A1" s="4" t="str">
        <x:v>UJEDNOLICONA BAZA ZAWODNIKÓW</x:v>
      </x:c>
      <x:c r="B1" s="4" t="str">
        <x:v>UJEDNOLICONA BAZA ZAWODNIKÓW</x:v>
      </x:c>
      <x:c r="C1" s="4" t="str">
        <x:v>UJEDNOLICONA BAZA ZAWODNIKÓW</x:v>
      </x:c>
      <x:c r="D1" s="4" t="str">
        <x:v>UJEDNOLICONA BAZA ZAWODNIKÓW</x:v>
      </x:c>
      <x:c r="E1" s="4" t="str">
        <x:v>UJEDNOLICONA BAZA ZAWODNIKÓW</x:v>
      </x:c>
      <x:c r="F1" s="4" t="str">
        <x:v>UJEDNOLICONA BAZA ZAWODNIKÓW</x:v>
      </x:c>
    </x:row>
    <x:row r="2" ht="24" customHeight="1">
      <x:c r="A2" s="8" t="str">
        <x:v>Nazwiska w tej tabeli są kluczami obliczeń. Nowego zawodnika dopisz w pierwszym pustym wierszu i użyj identycznej pisowni w arkuszu Wyniki zawodów.</x:v>
      </x:c>
      <x:c r="B2" s="8" t="str">
        <x:v>Nazwiska w tej tabeli są kluczami obliczeń. Nowego zawodnika dopisz w pierwszym pustym wierszu i użyj identycznej pisowni w arkuszu Wyniki zawodów.</x:v>
      </x:c>
      <x:c r="C2" s="8" t="str">
        <x:v>Nazwiska w tej tabeli są kluczami obliczeń. Nowego zawodnika dopisz w pierwszym pustym wierszu i użyj identycznej pisowni w arkuszu Wyniki zawodów.</x:v>
      </x:c>
      <x:c r="D2" s="8" t="str">
        <x:v>Nazwiska w tej tabeli są kluczami obliczeń. Nowego zawodnika dopisz w pierwszym pustym wierszu i użyj identycznej pisowni w arkuszu Wyniki zawodów.</x:v>
      </x:c>
      <x:c r="E2" s="8" t="str">
        <x:v>Nazwiska w tej tabeli są kluczami obliczeń. Nowego zawodnika dopisz w pierwszym pustym wierszu i użyj identycznej pisowni w arkuszu Wyniki zawodów.</x:v>
      </x:c>
      <x:c r="F2" s="8" t="str">
        <x:v>Nazwiska w tej tabeli są kluczami obliczeń. Nowego zawodnika dopisz w pierwszym pustym wierszu i użyj identycznej pisowni w arkuszu Wyniki zawodów.</x:v>
      </x:c>
    </x:row>
    <x:row r="3" ht="24" customHeight="1">
      <x:c r="A3" s="8" t="str">
        <x:v>Nazwiska w tej tabeli są kluczami obliczeń. Nowego zawodnika dopisz w pierwszym pustym wierszu i użyj identycznej pisowni w arkuszu Wyniki zawodów.</x:v>
      </x:c>
      <x:c r="B3" s="8" t="str">
        <x:v>Nazwiska w tej tabeli są kluczami obliczeń. Nowego zawodnika dopisz w pierwszym pustym wierszu i użyj identycznej pisowni w arkuszu Wyniki zawodów.</x:v>
      </x:c>
      <x:c r="C3" s="8" t="str">
        <x:v>Nazwiska w tej tabeli są kluczami obliczeń. Nowego zawodnika dopisz w pierwszym pustym wierszu i użyj identycznej pisowni w arkuszu Wyniki zawodów.</x:v>
      </x:c>
      <x:c r="D3" s="8" t="str">
        <x:v>Nazwiska w tej tabeli są kluczami obliczeń. Nowego zawodnika dopisz w pierwszym pustym wierszu i użyj identycznej pisowni w arkuszu Wyniki zawodów.</x:v>
      </x:c>
      <x:c r="E3" s="8" t="str">
        <x:v>Nazwiska w tej tabeli są kluczami obliczeń. Nowego zawodnika dopisz w pierwszym pustym wierszu i użyj identycznej pisowni w arkuszu Wyniki zawodów.</x:v>
      </x:c>
      <x:c r="F3" s="8" t="str">
        <x:v>Nazwiska w tej tabeli są kluczami obliczeń. Nowego zawodnika dopisz w pierwszym pustym wierszu i użyj identycznej pisowni w arkuszu Wyniki zawodów.</x:v>
      </x:c>
    </x:row>
    <x:row r="5" ht="44" customHeight="1">
      <x:c r="A5" s="14" t="str">
        <x:v>Zawodnik</x:v>
      </x:c>
      <x:c r="B5" s="14" t="str">
        <x:v>Puchar Polski</x:v>
      </x:c>
      <x:c r="C5" s="14" t="str">
        <x:v>Miejscowość</x:v>
      </x:c>
      <x:c r="D5" s="14" t="str">
        <x:v>Wzrost</x:v>
      </x:c>
      <x:c r="E5" s="14" t="str">
        <x:v>Waga</x:v>
      </x:c>
      <x:c r="F5" s="14" t="str">
        <x:v>Status danych</x:v>
      </x:c>
    </x:row>
    <x:row r="6">
      <x:c r="A6" s="20" t="str">
        <x:v>Adam Wądołowski</x:v>
      </x:c>
      <x:c r="B6" s="20" t="str">
        <x:v>Tak</x:v>
      </x:c>
      <x:c r="C6" s="20" t="str">
        <x:v>Białystok</x:v>
      </x:c>
      <x:c r="D6" s="20" t="str">
        <x:v>182</x:v>
      </x:c>
      <x:c r="E6" s="20" t="str">
        <x:v>135</x:v>
      </x:c>
      <x:c r="F6" s="20" t="str">
        <x:v>Zweryfikowane ze źródła</x:v>
      </x:c>
    </x:row>
    <x:row r="7">
      <x:c r="A7" s="20" t="str">
        <x:v>Bartłomiej Bąbol</x:v>
      </x:c>
      <x:c r="B7" s="20" t="str">
        <x:v>Tak</x:v>
      </x:c>
      <x:c r="C7" s="20" t="str">
        <x:v>PIOTRKOW TRYBUNALSKI</x:v>
      </x:c>
      <x:c r="D7" s="20" t="str">
        <x:v>202</x:v>
      </x:c>
      <x:c r="E7" s="20" t="str">
        <x:v>140</x:v>
      </x:c>
      <x:c r="F7" s="20" t="str">
        <x:v>Zweryfikowane ze źródła</x:v>
      </x:c>
    </x:row>
    <x:row r="8">
      <x:c r="A8" s="20" t="str">
        <x:v>Bartosz Postój</x:v>
      </x:c>
      <x:c r="B8" s="20" t="str">
        <x:v>Tak</x:v>
      </x:c>
      <x:c r="C8" s="20" t="str">
        <x:v>LUBLIN</x:v>
      </x:c>
      <x:c r="D8" s="20" t="str">
        <x:v>187</x:v>
      </x:c>
      <x:c r="E8" s="20" t="str">
        <x:v>150</x:v>
      </x:c>
      <x:c r="F8" s="20" t="str">
        <x:v>Zweryfikowane ze źródła</x:v>
      </x:c>
    </x:row>
    <x:row r="9">
      <x:c r="A9" s="20" t="str">
        <x:v>Jakub Szczechowski</x:v>
      </x:c>
      <x:c r="B9" s="20" t="str">
        <x:v>Tak</x:v>
      </x:c>
      <x:c r="C9" s="20" t="str">
        <x:v>Raszówka</x:v>
      </x:c>
      <x:c r="D9" s="20" t="str">
        <x:v>187</x:v>
      </x:c>
      <x:c r="E9" s="20" t="str">
        <x:v>145</x:v>
      </x:c>
      <x:c r="F9" s="20" t="str">
        <x:v>Zweryfikowane ze źródła</x:v>
      </x:c>
    </x:row>
    <x:row r="10">
      <x:c r="A10" s="20" t="str">
        <x:v>Jarosław Dymek</x:v>
      </x:c>
      <x:c r="B10" s="20" t="str">
        <x:v>Nie</x:v>
      </x:c>
      <x:c r="C10" s="20" t="str">
        <x:v>MALBORK</x:v>
      </x:c>
      <x:c r="D10" s="20" t="str">
        <x:v>183</x:v>
      </x:c>
      <x:c r="E10" s="20" t="str">
        <x:v>125</x:v>
      </x:c>
      <x:c r="F10" s="20" t="str">
        <x:v>Zweryfikowane ze źródła</x:v>
      </x:c>
    </x:row>
    <x:row r="11">
      <x:c r="A11" s="20" t="str">
        <x:v>Kamil Łyszkowski</x:v>
      </x:c>
      <x:c r="B11" s="20" t="str">
        <x:v>Nie</x:v>
      </x:c>
      <x:c r="C11" s="20" t="str">
        <x:v>LIPINKA</x:v>
      </x:c>
      <x:c r="D11" s="20" t="str">
        <x:v>170</x:v>
      </x:c>
      <x:c r="E11" s="20" t="str">
        <x:v>110</x:v>
      </x:c>
      <x:c r="F11" s="20" t="str">
        <x:v>Zweryfikowane ze źródła</x:v>
      </x:c>
    </x:row>
    <x:row r="12">
      <x:c r="A12" s="20" t="str">
        <x:v>Karol Kołaszewski</x:v>
      </x:c>
      <x:c r="B12" s="20" t="str">
        <x:v>Nie</x:v>
      </x:c>
      <x:c r="C12" s="20" t="str">
        <x:v>KOSZALIN</x:v>
      </x:c>
      <x:c r="D12" s="20" t="str">
        <x:v>188</x:v>
      </x:c>
      <x:c r="E12" s="20" t="str">
        <x:v>155</x:v>
      </x:c>
      <x:c r="F12" s="20" t="str">
        <x:v>Zweryfikowane ze źródła</x:v>
      </x:c>
    </x:row>
    <x:row r="13">
      <x:c r="A13" s="20" t="str">
        <x:v>Krystian Klawikowski</x:v>
      </x:c>
      <x:c r="B13" s="20" t="str">
        <x:v>Tak</x:v>
      </x:c>
      <x:c r="C13" s="20" t="str">
        <x:v>GOŚCICINO</x:v>
      </x:c>
      <x:c r="D13" s="20" t="str">
        <x:v>188</x:v>
      </x:c>
      <x:c r="E13" s="20" t="str">
        <x:v>125</x:v>
      </x:c>
      <x:c r="F13" s="20" t="str">
        <x:v>Zweryfikowane ze źródła</x:v>
      </x:c>
    </x:row>
    <x:row r="14">
      <x:c r="A14" s="20" t="str">
        <x:v>Krzysztof Kacnerski</x:v>
      </x:c>
      <x:c r="B14" s="20" t="str">
        <x:v>Tak</x:v>
      </x:c>
      <x:c r="C14" s="20" t="str">
        <x:v>Gdańsk</x:v>
      </x:c>
      <x:c r="D14" s="20" t="str">
        <x:v>180</x:v>
      </x:c>
      <x:c r="E14" s="20" t="str">
        <x:v>115</x:v>
      </x:c>
      <x:c r="F14" s="20" t="str">
        <x:v>Zweryfikowane ze źródła</x:v>
      </x:c>
    </x:row>
    <x:row r="15">
      <x:c r="A15" s="20" t="str">
        <x:v>Łukasz Kieliszkowski</x:v>
      </x:c>
      <x:c r="B15" s="20" t="str">
        <x:v>Tak</x:v>
      </x:c>
      <x:c r="C15" s="20" t="str">
        <x:v>Krosno Odrzańskie</x:v>
      </x:c>
      <x:c r="D15" s="20" t="str">
        <x:v>187</x:v>
      </x:c>
      <x:c r="E15" s="20" t="str">
        <x:v>130</x:v>
      </x:c>
      <x:c r="F15" s="20" t="str">
        <x:v>Zweryfikowane ze źródła</x:v>
      </x:c>
    </x:row>
    <x:row r="16">
      <x:c r="A16" s="20" t="str">
        <x:v>Marcin Schabowski</x:v>
      </x:c>
      <x:c r="B16" s="20" t="str">
        <x:v>Tak</x:v>
      </x:c>
      <x:c r="C16" s="20" t="str">
        <x:v>Gdańsk</x:v>
      </x:c>
      <x:c r="D16" s="20" t="str">
        <x:v>190</x:v>
      </x:c>
      <x:c r="E16" s="20" t="str">
        <x:v>135</x:v>
      </x:c>
      <x:c r="F16" s="20" t="str">
        <x:v>Data urodzenia wymaga weryfikacji.</x:v>
      </x:c>
    </x:row>
    <x:row r="17">
      <x:c r="A17" s="20" t="str">
        <x:v>Marcin Stankiewicz</x:v>
      </x:c>
      <x:c r="B17" s="20" t="str">
        <x:v>Tak</x:v>
      </x:c>
      <x:c r="C17" s="20" t="str">
        <x:v>MALBORK</x:v>
      </x:c>
      <x:c r="D17" s="20" t="str">
        <x:v>183</x:v>
      </x:c>
      <x:c r="E17" s="20" t="str">
        <x:v>120</x:v>
      </x:c>
      <x:c r="F17" s="20" t="str">
        <x:v>Zweryfikowane ze źródła</x:v>
      </x:c>
    </x:row>
    <x:row r="18">
      <x:c r="A18" s="20" t="str">
        <x:v>Mariusz Pachut</x:v>
      </x:c>
      <x:c r="B18" s="20" t="str">
        <x:v>Tak</x:v>
      </x:c>
      <x:c r="C18" s="20" t="str">
        <x:v>WILCZKOWICE k. WROCŁAWIA</x:v>
      </x:c>
      <x:c r="D18" s="20" t="str">
        <x:v>190</x:v>
      </x:c>
      <x:c r="E18" s="20" t="str">
        <x:v>150</x:v>
      </x:c>
      <x:c r="F18" s="20" t="str">
        <x:v>Zweryfikowane ze źródła</x:v>
      </x:c>
    </x:row>
    <x:row r="19">
      <x:c r="A19" s="20" t="str">
        <x:v>Michał Maruszewski</x:v>
      </x:c>
      <x:c r="B19" s="20" t="str">
        <x:v>Tak</x:v>
      </x:c>
      <x:c r="C19" s="20" t="str">
        <x:v>Lublin</x:v>
      </x:c>
      <x:c r="D19" s="20" t="str">
        <x:v>188</x:v>
      </x:c>
      <x:c r="E19" s="20" t="str">
        <x:v>115</x:v>
      </x:c>
      <x:c r="F19" s="20" t="str">
        <x:v>Data urodzenia wymaga weryfikacji.</x:v>
      </x:c>
    </x:row>
    <x:row r="20">
      <x:c r="A20" s="20" t="str">
        <x:v>Oskar Ziółkowski</x:v>
      </x:c>
      <x:c r="B20" s="20" t="str">
        <x:v>Nie</x:v>
      </x:c>
      <x:c r="C20" s="20" t="str">
        <x:v>Wielki Komórek, powiat Warlubie</x:v>
      </x:c>
      <x:c r="D20" s="20" t="str">
        <x:v>191</x:v>
      </x:c>
      <x:c r="E20" s="20" t="str">
        <x:v>148</x:v>
      </x:c>
      <x:c r="F20" s="20" t="str">
        <x:v>Zweryfikowane ze źródła</x:v>
      </x:c>
    </x:row>
    <x:row r="21">
      <x:c r="A21" s="20" t="str">
        <x:v>Paweł Kostrzewski</x:v>
      </x:c>
      <x:c r="B21" s="20" t="str">
        <x:v>Tak</x:v>
      </x:c>
      <x:c r="C21" s="20" t="str">
        <x:v>Grudziądz</x:v>
      </x:c>
      <x:c r="D21" s="20" t="str">
        <x:v>192</x:v>
      </x:c>
      <x:c r="E21" s="20" t="str">
        <x:v>155</x:v>
      </x:c>
      <x:c r="F21" s="20" t="str">
        <x:v>Zweryfikowane ze źródła</x:v>
      </x:c>
    </x:row>
    <x:row r="22">
      <x:c r="A22" s="20" t="str">
        <x:v>Paweł Piskorz</x:v>
      </x:c>
      <x:c r="B22" s="20" t="str">
        <x:v>Tak</x:v>
      </x:c>
      <x:c r="C22" s="20" t="str">
        <x:v>Olsztyn</x:v>
      </x:c>
      <x:c r="D22" s="20" t="str">
        <x:v>187</x:v>
      </x:c>
      <x:c r="E22" s="20" t="str">
        <x:v>135</x:v>
      </x:c>
      <x:c r="F22" s="20" t="str">
        <x:v>Zweryfikowane ze źródła</x:v>
      </x:c>
    </x:row>
    <x:row r="23">
      <x:c r="A23" s="20" t="str">
        <x:v>Przemysław Marczewski</x:v>
      </x:c>
      <x:c r="B23" s="20" t="str">
        <x:v>Tak</x:v>
      </x:c>
      <x:c r="C23" s="20" t="str"/>
      <x:c r="D23" s="20" t="str"/>
      <x:c r="E23" s="20" t="str"/>
      <x:c r="F23" s="20" t="str">
        <x:v>Zweryfikowane ze źródła</x:v>
      </x:c>
    </x:row>
    <x:row r="24">
      <x:c r="A24" s="20" t="str">
        <x:v>Rafał Sojc</x:v>
      </x:c>
      <x:c r="B24" s="20" t="str">
        <x:v>Tak</x:v>
      </x:c>
      <x:c r="C24" s="20" t="str">
        <x:v>WEJHEROWO</x:v>
      </x:c>
      <x:c r="D24" s="20" t="str">
        <x:v>200</x:v>
      </x:c>
      <x:c r="E24" s="20" t="str">
        <x:v>137</x:v>
      </x:c>
      <x:c r="F24" s="20" t="str">
        <x:v>Zweryfikowane ze źródła</x:v>
      </x:c>
    </x:row>
    <x:row r="25">
      <x:c r="A25" s="20" t="str">
        <x:v>Tomasz Lademann</x:v>
      </x:c>
      <x:c r="B25" s="20" t="str">
        <x:v>Tak</x:v>
      </x:c>
      <x:c r="C25" s="20" t="str">
        <x:v>Łebcz k.  Władysławowa</x:v>
      </x:c>
      <x:c r="D25" s="20" t="str">
        <x:v>183</x:v>
      </x:c>
      <x:c r="E25" s="20" t="str">
        <x:v>130</x:v>
      </x:c>
      <x:c r="F25" s="20" t="str">
        <x:v>Zweryfikowane ze źródła</x:v>
      </x:c>
    </x:row>
    <x:row r="26">
      <x:c r="A26" s="17" t="str"/>
      <x:c r="B26" s="17" t="str"/>
      <x:c r="C26" s="17" t="str"/>
      <x:c r="D26" s="17" t="str"/>
      <x:c r="E26" s="17" t="str"/>
      <x:c r="F26" s="17" t="str"/>
    </x:row>
    <x:row r="27">
      <x:c r="A27" s="17" t="str"/>
      <x:c r="B27" s="17" t="str"/>
      <x:c r="C27" s="17" t="str"/>
      <x:c r="D27" s="17" t="str"/>
      <x:c r="E27" s="17" t="str"/>
      <x:c r="F27" s="17" t="str"/>
    </x:row>
    <x:row r="28">
      <x:c r="A28" s="17" t="str"/>
      <x:c r="B28" s="17" t="str"/>
      <x:c r="C28" s="17" t="str"/>
      <x:c r="D28" s="17" t="str"/>
      <x:c r="E28" s="17" t="str"/>
      <x:c r="F28" s="17" t="str"/>
    </x:row>
    <x:row r="29">
      <x:c r="A29" s="17" t="str"/>
      <x:c r="B29" s="17" t="str"/>
      <x:c r="C29" s="17" t="str"/>
      <x:c r="D29" s="17" t="str"/>
      <x:c r="E29" s="17" t="str"/>
      <x:c r="F29" s="17" t="str"/>
    </x:row>
    <x:row r="30">
      <x:c r="A30" s="17" t="str"/>
      <x:c r="B30" s="17" t="str"/>
      <x:c r="C30" s="17" t="str"/>
      <x:c r="D30" s="17" t="str"/>
      <x:c r="E30" s="17" t="str"/>
      <x:c r="F30" s="17" t="str"/>
    </x:row>
    <x:row r="31">
      <x:c r="A31" s="17" t="str"/>
      <x:c r="B31" s="17" t="str"/>
      <x:c r="C31" s="17" t="str"/>
      <x:c r="D31" s="17" t="str"/>
      <x:c r="E31" s="17" t="str"/>
      <x:c r="F31" s="17" t="str"/>
    </x:row>
    <x:row r="32">
      <x:c r="A32" s="17" t="str"/>
      <x:c r="B32" s="17" t="str"/>
      <x:c r="C32" s="17" t="str"/>
      <x:c r="D32" s="17" t="str"/>
      <x:c r="E32" s="17" t="str"/>
      <x:c r="F32" s="17" t="str"/>
    </x:row>
    <x:row r="33">
      <x:c r="A33" s="17" t="str"/>
      <x:c r="B33" s="17" t="str"/>
      <x:c r="C33" s="17" t="str"/>
      <x:c r="D33" s="17" t="str"/>
      <x:c r="E33" s="17" t="str"/>
      <x:c r="F33" s="17" t="str"/>
    </x:row>
    <x:row r="34">
      <x:c r="A34" s="17" t="str"/>
      <x:c r="B34" s="17" t="str"/>
      <x:c r="C34" s="17" t="str"/>
      <x:c r="D34" s="17" t="str"/>
      <x:c r="E34" s="17" t="str"/>
      <x:c r="F34" s="17" t="str"/>
    </x:row>
    <x:row r="35">
      <x:c r="A35" s="17" t="str"/>
      <x:c r="B35" s="17" t="str"/>
      <x:c r="C35" s="17" t="str"/>
      <x:c r="D35" s="17" t="str"/>
      <x:c r="E35" s="17" t="str"/>
      <x:c r="F35" s="17" t="str"/>
    </x:row>
    <x:row r="36">
      <x:c r="A36" s="17" t="str"/>
      <x:c r="B36" s="17" t="str"/>
      <x:c r="C36" s="17" t="str"/>
      <x:c r="D36" s="17" t="str"/>
      <x:c r="E36" s="17" t="str"/>
      <x:c r="F36" s="17" t="str"/>
    </x:row>
    <x:row r="37">
      <x:c r="A37" s="17" t="str"/>
      <x:c r="B37" s="17" t="str"/>
      <x:c r="C37" s="17" t="str"/>
      <x:c r="D37" s="17" t="str"/>
      <x:c r="E37" s="17" t="str"/>
      <x:c r="F37" s="17" t="str"/>
    </x:row>
    <x:row r="38">
      <x:c r="A38" s="17" t="str"/>
      <x:c r="B38" s="17" t="str"/>
      <x:c r="C38" s="17" t="str"/>
      <x:c r="D38" s="17" t="str"/>
      <x:c r="E38" s="17" t="str"/>
      <x:c r="F38" s="17" t="str"/>
    </x:row>
    <x:row r="39">
      <x:c r="A39" s="17" t="str"/>
      <x:c r="B39" s="17" t="str"/>
      <x:c r="C39" s="17" t="str"/>
      <x:c r="D39" s="17" t="str"/>
      <x:c r="E39" s="17" t="str"/>
      <x:c r="F39" s="17" t="str"/>
    </x:row>
    <x:row r="40">
      <x:c r="A40" s="17" t="str"/>
      <x:c r="B40" s="17" t="str"/>
      <x:c r="C40" s="17" t="str"/>
      <x:c r="D40" s="17" t="str"/>
      <x:c r="E40" s="17" t="str"/>
      <x:c r="F40" s="17" t="str"/>
    </x:row>
    <x:row r="41">
      <x:c r="A41" s="17" t="str"/>
      <x:c r="B41" s="17" t="str"/>
      <x:c r="C41" s="17" t="str"/>
      <x:c r="D41" s="17" t="str"/>
      <x:c r="E41" s="17" t="str"/>
      <x:c r="F41" s="17" t="str"/>
    </x:row>
    <x:row r="42">
      <x:c r="A42" s="17" t="str"/>
      <x:c r="B42" s="17" t="str"/>
      <x:c r="C42" s="17" t="str"/>
      <x:c r="D42" s="17" t="str"/>
      <x:c r="E42" s="17" t="str"/>
      <x:c r="F42" s="17" t="str"/>
    </x:row>
    <x:row r="43">
      <x:c r="A43" s="17" t="str"/>
      <x:c r="B43" s="17" t="str"/>
      <x:c r="C43" s="17" t="str"/>
      <x:c r="D43" s="17" t="str"/>
      <x:c r="E43" s="17" t="str"/>
      <x:c r="F43" s="17" t="str"/>
    </x:row>
    <x:row r="44">
      <x:c r="A44" s="17" t="str"/>
      <x:c r="B44" s="17" t="str"/>
      <x:c r="C44" s="17" t="str"/>
      <x:c r="D44" s="17" t="str"/>
      <x:c r="E44" s="17" t="str"/>
      <x:c r="F44" s="17" t="str"/>
    </x:row>
    <x:row r="45">
      <x:c r="A45" s="17" t="str"/>
      <x:c r="B45" s="17" t="str"/>
      <x:c r="C45" s="17" t="str"/>
      <x:c r="D45" s="17" t="str"/>
      <x:c r="E45" s="17" t="str"/>
      <x:c r="F45" s="17" t="str"/>
    </x:row>
    <x:row r="46">
      <x:c r="A46" s="17" t="str"/>
      <x:c r="B46" s="17" t="str"/>
      <x:c r="C46" s="17" t="str"/>
      <x:c r="D46" s="17" t="str"/>
      <x:c r="E46" s="17" t="str"/>
      <x:c r="F46" s="17" t="str"/>
    </x:row>
    <x:row r="47">
      <x:c r="A47" s="17" t="str"/>
      <x:c r="B47" s="17" t="str"/>
      <x:c r="C47" s="17" t="str"/>
      <x:c r="D47" s="17" t="str"/>
      <x:c r="E47" s="17" t="str"/>
      <x:c r="F47" s="17" t="str"/>
    </x:row>
    <x:row r="48">
      <x:c r="A48" s="17" t="str"/>
      <x:c r="B48" s="17" t="str"/>
      <x:c r="C48" s="17" t="str"/>
      <x:c r="D48" s="17" t="str"/>
      <x:c r="E48" s="17" t="str"/>
      <x:c r="F48" s="17" t="str"/>
    </x:row>
    <x:row r="49">
      <x:c r="A49" s="17" t="str"/>
      <x:c r="B49" s="17" t="str"/>
      <x:c r="C49" s="17" t="str"/>
      <x:c r="D49" s="17" t="str"/>
      <x:c r="E49" s="17" t="str"/>
      <x:c r="F49" s="17" t="str"/>
    </x:row>
    <x:row r="50">
      <x:c r="A50" s="17" t="str"/>
      <x:c r="B50" s="17" t="str"/>
      <x:c r="C50" s="17" t="str"/>
      <x:c r="D50" s="17" t="str"/>
      <x:c r="E50" s="17" t="str"/>
      <x:c r="F50" s="17" t="str"/>
    </x:row>
    <x:row r="51">
      <x:c r="A51" s="17" t="str"/>
      <x:c r="B51" s="17" t="str"/>
      <x:c r="C51" s="17" t="str"/>
      <x:c r="D51" s="17" t="str"/>
      <x:c r="E51" s="17" t="str"/>
      <x:c r="F51" s="17" t="str"/>
    </x:row>
    <x:row r="52">
      <x:c r="A52" s="17" t="str"/>
      <x:c r="B52" s="17" t="str"/>
      <x:c r="C52" s="17" t="str"/>
      <x:c r="D52" s="17" t="str"/>
      <x:c r="E52" s="17" t="str"/>
      <x:c r="F52" s="17" t="str"/>
    </x:row>
    <x:row r="53">
      <x:c r="A53" s="17" t="str"/>
      <x:c r="B53" s="17" t="str"/>
      <x:c r="C53" s="17" t="str"/>
      <x:c r="D53" s="17" t="str"/>
      <x:c r="E53" s="17" t="str"/>
      <x:c r="F53" s="17" t="str"/>
    </x:row>
    <x:row r="54">
      <x:c r="A54" s="17" t="str"/>
      <x:c r="B54" s="17" t="str"/>
      <x:c r="C54" s="17" t="str"/>
      <x:c r="D54" s="17" t="str"/>
      <x:c r="E54" s="17" t="str"/>
      <x:c r="F54" s="17" t="str"/>
    </x:row>
    <x:row r="55">
      <x:c r="A55" s="17" t="str"/>
      <x:c r="B55" s="17" t="str"/>
      <x:c r="C55" s="17" t="str"/>
      <x:c r="D55" s="17" t="str"/>
      <x:c r="E55" s="17" t="str"/>
      <x:c r="F55" s="17" t="str"/>
    </x:row>
  </x:sheetData>
  <x:mergeCells>
    <x:mergeCell ref="A1:F1"/>
    <x:mergeCell ref="A2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38" hidden="0" customWidth="1"/>
    <x:col min="5" max="5" width="35" hidden="0" customWidth="1"/>
    <x:col min="6" max="6" width="42" hidden="0" customWidth="1"/>
  </x:cols>
  <x:sheetData>
    <x:row r="1" ht="30" customHeight="1">
      <x:c r="A1" s="4" t="str">
        <x:v>INSTRUKCJA AKTUALIZACJI SEZONU 2026</x:v>
      </x:c>
      <x:c r="B1" s="4" t="str">
        <x:v>INSTRUKCJA AKTUALIZACJI SEZONU 2026</x:v>
      </x:c>
      <x:c r="C1" s="4" t="str">
        <x:v>INSTRUKCJA AKTUALIZACJI SEZONU 2026</x:v>
      </x:c>
      <x:c r="D1" s="4" t="str">
        <x:v>INSTRUKCJA AKTUALIZACJI SEZONU 2026</x:v>
      </x:c>
      <x:c r="E1" s="4" t="str">
        <x:v>INSTRUKCJA AKTUALIZACJI SEZONU 2026</x:v>
      </x:c>
      <x:c r="F1" s="4" t="str">
        <x:v>INSTRUKCJA AKTUALIZACJI SEZONU 2026</x:v>
      </x:c>
    </x:row>
    <x:row r="2" ht="24" customHeight="1">
      <x:c r="A2" s="8" t="str">
        <x:v>Plik jest edytowalny i przygotowany na kolejne imprezy. Najbezpieczniej uzupełniać go w kolejności opisanej poniżej.</x:v>
      </x:c>
      <x:c r="B2" s="8" t="str">
        <x:v>Plik jest edytowalny i przygotowany na kolejne imprezy. Najbezpieczniej uzupełniać go w kolejności opisanej poniżej.</x:v>
      </x:c>
      <x:c r="C2" s="8" t="str">
        <x:v>Plik jest edytowalny i przygotowany na kolejne imprezy. Najbezpieczniej uzupełniać go w kolejności opisanej poniżej.</x:v>
      </x:c>
      <x:c r="D2" s="8" t="str">
        <x:v>Plik jest edytowalny i przygotowany na kolejne imprezy. Najbezpieczniej uzupełniać go w kolejności opisanej poniżej.</x:v>
      </x:c>
      <x:c r="E2" s="8" t="str">
        <x:v>Plik jest edytowalny i przygotowany na kolejne imprezy. Najbezpieczniej uzupełniać go w kolejności opisanej poniżej.</x:v>
      </x:c>
      <x:c r="F2" s="8" t="str">
        <x:v>Plik jest edytowalny i przygotowany na kolejne imprezy. Najbezpieczniej uzupełniać go w kolejności opisanej poniżej.</x:v>
      </x:c>
    </x:row>
    <x:row r="3" ht="24" customHeight="1">
      <x:c r="A3" s="8" t="str">
        <x:v>Plik jest edytowalny i przygotowany na kolejne imprezy. Najbezpieczniej uzupełniać go w kolejności opisanej poniżej.</x:v>
      </x:c>
      <x:c r="B3" s="8" t="str">
        <x:v>Plik jest edytowalny i przygotowany na kolejne imprezy. Najbezpieczniej uzupełniać go w kolejności opisanej poniżej.</x:v>
      </x:c>
      <x:c r="C3" s="8" t="str">
        <x:v>Plik jest edytowalny i przygotowany na kolejne imprezy. Najbezpieczniej uzupełniać go w kolejności opisanej poniżej.</x:v>
      </x:c>
      <x:c r="D3" s="8" t="str">
        <x:v>Plik jest edytowalny i przygotowany na kolejne imprezy. Najbezpieczniej uzupełniać go w kolejności opisanej poniżej.</x:v>
      </x:c>
      <x:c r="E3" s="8" t="str">
        <x:v>Plik jest edytowalny i przygotowany na kolejne imprezy. Najbezpieczniej uzupełniać go w kolejności opisanej poniżej.</x:v>
      </x:c>
      <x:c r="F3" s="8" t="str">
        <x:v>Plik jest edytowalny i przygotowany na kolejne imprezy. Najbezpieczniej uzupełniać go w kolejności opisanej poniżej.</x:v>
      </x:c>
    </x:row>
    <x:row r="5" ht="44" customHeight="1">
      <x:c r="A5" s="14" t="str">
        <x:v>Krok</x:v>
      </x:c>
      <x:c r="B5" s="14" t="str">
        <x:v>Działanie</x:v>
      </x:c>
      <x:c r="C5" s="14" t="str">
        <x:v>Miejsce</x:v>
      </x:c>
      <x:c r="D5" s="14" t="str">
        <x:v>Co wpisać</x:v>
      </x:c>
      <x:c r="E5" s="14" t="str">
        <x:v>Kontrola</x:v>
      </x:c>
      <x:c r="F5" s="14" t="str">
        <x:v>Ważne</x:v>
      </x:c>
    </x:row>
    <x:row r="6">
      <x:c r="A6" s="34" t="n">
        <x:v>1</x:v>
      </x:c>
      <x:c r="B6" s="34" t="str">
        <x:v>Dodaj imprezę</x:v>
      </x:c>
      <x:c r="C6" s="34" t="str">
        <x:v>Zawody</x:v>
      </x:c>
      <x:c r="D6" s="34" t="str">
        <x:v>Data, miejscowość, nazwa i plik źródłowy</x:v>
      </x:c>
      <x:c r="E6" s="34" t="str">
        <x:v>Nadaj kolejny numer</x:v>
      </x:c>
      <x:c r="F6" s="34" t="str">
        <x:v>Nie zmieniaj numerów rozegranych imprez</x:v>
      </x:c>
    </x:row>
    <x:row r="7">
      <x:c r="A7" s="34" t="n">
        <x:v>2</x:v>
      </x:c>
      <x:c r="B7" s="34" t="str">
        <x:v>Dodaj nowego zawodnika</x:v>
      </x:c>
      <x:c r="C7" s="34" t="str">
        <x:v>Zawodnicy</x:v>
      </x:c>
      <x:c r="D7" s="34" t="str">
        <x:v>Jedna, ujednolicona pisownia imienia i nazwiska</x:v>
      </x:c>
      <x:c r="E7" s="34" t="str">
        <x:v>Sprawdź duplikaty</x:v>
      </x:c>
      <x:c r="F7" s="34" t="str">
        <x:v>Ta sama pisownia musi trafić do wyników</x:v>
      </x:c>
    </x:row>
    <x:row r="8">
      <x:c r="A8" s="34" t="n">
        <x:v>3</x:v>
      </x:c>
      <x:c r="B8" s="34" t="str">
        <x:v>Dodaj klasyfikację końcową</x:v>
      </x:c>
      <x:c r="C8" s="34" t="str">
        <x:v>Wyniki zawodów</x:v>
      </x:c>
      <x:c r="D8" s="34" t="str">
        <x:v>Pięć wierszy: lokaty 1-5</x:v>
      </x:c>
      <x:c r="E8" s="34" t="str">
        <x:v>Punkty sezonu wyliczą się automatycznie</x:v>
      </x:c>
      <x:c r="F8" s="34" t="str">
        <x:v>Przy remisie zachowaj tę samą lokatę</x:v>
      </x:c>
    </x:row>
    <x:row r="9">
      <x:c r="A9" s="34" t="n">
        <x:v>4</x:v>
      </x:c>
      <x:c r="B9" s="34" t="str">
        <x:v>Sprawdź klasyfikację</x:v>
      </x:c>
      <x:c r="C9" s="34" t="str">
        <x:v>Klasyfikacja</x:v>
      </x:c>
      <x:c r="D9" s="34" t="str">
        <x:v>Bez ręcznego wpisywania</x:v>
      </x:c>
      <x:c r="E9" s="34" t="str">
        <x:v>Suma 4 najlepszych ma zielone tło</x:v>
      </x:c>
      <x:c r="F9" s="34" t="str">
        <x:v>Punkty odrzucone są pokazane osobno</x:v>
      </x:c>
    </x:row>
    <x:row r="10">
      <x:c r="A10" s="34" t="n">
        <x:v>5</x:v>
      </x:c>
      <x:c r="B10" s="34" t="str">
        <x:v>Zachowaj kopię</x:v>
      </x:c>
      <x:c r="C10" s="34" t="str">
        <x:v>Plik</x:v>
      </x:c>
      <x:c r="D10" s="34" t="str">
        <x:v>Nowa nazwa z aktualną datą</x:v>
      </x:c>
      <x:c r="E10" s="34" t="str">
        <x:v>Otwórz plik ponownie</x:v>
      </x:c>
      <x:c r="F10" s="34" t="str">
        <x:v>Nie nadpisuj jedynej kopii</x:v>
      </x:c>
    </x:row>
    <x:row r="11">
      <x:c r="A11" s="34" t="n">
        <x:v>6</x:v>
      </x:c>
      <x:c r="B11" s="34" t="str">
        <x:v>Import do aplikacji</x:v>
      </x:c>
      <x:c r="C11" s="34" t="str">
        <x:v>Sezon</x:v>
      </x:c>
      <x:c r="D11" s="34" t="str">
        <x:v>Plik JSON wyeksportowany z aplikacji</x:v>
      </x:c>
      <x:c r="E11" s="34" t="str">
        <x:v>Porównaj liczbę imprez</x:v>
      </x:c>
      <x:c r="F11" s="34" t="str">
        <x:v>PDF nie jest formatem wymiany danych</x:v>
      </x:c>
    </x:row>
    <x:row r="12">
      <x:c r="A12" s="34" t="n">
        <x:v>7</x:v>
      </x:c>
      <x:c r="B12" s="34" t="str">
        <x:v>Rozbieżność danych</x:v>
      </x:c>
      <x:c r="C12" s="34" t="str">
        <x:v>Audyt</x:v>
      </x:c>
      <x:c r="D12" s="34" t="str">
        <x:v>Wróć do oryginalnego pliku wyników</x:v>
      </x:c>
      <x:c r="E12" s="34" t="str">
        <x:v>Nie zgaduj nazwiska ani lokaty</x:v>
      </x:c>
      <x:c r="F12" s="34" t="str">
        <x:v>Dwie daty urodzenia wymagają weryfikacji</x:v>
      </x:c>
    </x:row>
  </x:sheetData>
  <x:mergeCells>
    <x:mergeCell ref="A1:F1"/>
    <x:mergeCell ref="A2:F3"/>
  </x:mergeCells>
  <x:pageMargins left="0.7" right="0.7" top="0.75" bottom="0.75" header="0.3" footer="0.3"/>
</x:worksheet>
</file>